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 sheetId="1" state="visible" r:id="rId3"/>
    <sheet name="Notes" sheetId="2" state="visible" r:id="rId4"/>
  </sheets>
  <definedNames>
    <definedName function="false" hidden="true" localSheetId="0" name="_xlnm._FilterDatabase" vbProcedure="false">Data!$A$1:$L$256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<sst xmlns="http://schemas.openxmlformats.org/spreadsheetml/2006/main" count="534" uniqueCount="126">
  <si>
    <t xml:space="preserve">Year</t>
  </si>
  <si>
    <t xml:space="preserve">State of Residence</t>
  </si>
  <si>
    <t xml:space="preserve">State Code</t>
  </si>
  <si>
    <t xml:space="preserve">Gestational Diabetes (% of live births)</t>
  </si>
  <si>
    <t xml:space="preserve">Gestational Hypertension (% of live births)</t>
  </si>
  <si>
    <t xml:space="preserve">Eclampsia (% of live births)</t>
  </si>
  <si>
    <t xml:space="preserve">Maternal Morbidity (% of live births)</t>
  </si>
  <si>
    <t xml:space="preserve">Total Live Births</t>
  </si>
  <si>
    <t xml:space="preserve">Births with Gestational Diabetes</t>
  </si>
  <si>
    <t xml:space="preserve">Births with Gestational Hypertension</t>
  </si>
  <si>
    <t xml:space="preserve">Births with Eclampsia</t>
  </si>
  <si>
    <t xml:space="preserve">Births with Maternal Morbidity</t>
  </si>
  <si>
    <t xml:space="preserve">Alabama</t>
  </si>
  <si>
    <t xml:space="preserve">01</t>
  </si>
  <si>
    <t xml:space="preserve">Alaska</t>
  </si>
  <si>
    <t xml:space="preserve">02</t>
  </si>
  <si>
    <t xml:space="preserve">Arizona</t>
  </si>
  <si>
    <t xml:space="preserve">04</t>
  </si>
  <si>
    <t xml:space="preserve">Arkansas</t>
  </si>
  <si>
    <t xml:space="preserve">05</t>
  </si>
  <si>
    <t xml:space="preserve">California</t>
  </si>
  <si>
    <t xml:space="preserve">06</t>
  </si>
  <si>
    <t xml:space="preserve">Colorado</t>
  </si>
  <si>
    <t xml:space="preserve">08</t>
  </si>
  <si>
    <t xml:space="preserve">Connecticut</t>
  </si>
  <si>
    <t xml:space="preserve">09</t>
  </si>
  <si>
    <t xml:space="preserve">Delaware</t>
  </si>
  <si>
    <t xml:space="preserve">10</t>
  </si>
  <si>
    <t xml:space="preserve">District of Columbia</t>
  </si>
  <si>
    <t xml:space="preserve">11</t>
  </si>
  <si>
    <t xml:space="preserve">Florida</t>
  </si>
  <si>
    <t xml:space="preserve">12</t>
  </si>
  <si>
    <t xml:space="preserve">Georgia</t>
  </si>
  <si>
    <t xml:space="preserve">13</t>
  </si>
  <si>
    <t xml:space="preserve">Hawaii</t>
  </si>
  <si>
    <t xml:space="preserve">15</t>
  </si>
  <si>
    <t xml:space="preserve">Idaho</t>
  </si>
  <si>
    <t xml:space="preserve">16</t>
  </si>
  <si>
    <t xml:space="preserve">Illinois</t>
  </si>
  <si>
    <t xml:space="preserve">17</t>
  </si>
  <si>
    <t xml:space="preserve">Indiana</t>
  </si>
  <si>
    <t xml:space="preserve">18</t>
  </si>
  <si>
    <t xml:space="preserve">Iowa</t>
  </si>
  <si>
    <t xml:space="preserve">19</t>
  </si>
  <si>
    <t xml:space="preserve">Kansas</t>
  </si>
  <si>
    <t xml:space="preserve">20</t>
  </si>
  <si>
    <t xml:space="preserve">Kentucky</t>
  </si>
  <si>
    <t xml:space="preserve">21</t>
  </si>
  <si>
    <t xml:space="preserve">Louisiana</t>
  </si>
  <si>
    <t xml:space="preserve">22</t>
  </si>
  <si>
    <t xml:space="preserve">Maine</t>
  </si>
  <si>
    <t xml:space="preserve">23</t>
  </si>
  <si>
    <t xml:space="preserve">Maryland</t>
  </si>
  <si>
    <t xml:space="preserve">24</t>
  </si>
  <si>
    <t xml:space="preserve">Massachusetts</t>
  </si>
  <si>
    <t xml:space="preserve">25</t>
  </si>
  <si>
    <t xml:space="preserve">Michigan</t>
  </si>
  <si>
    <t xml:space="preserve">26</t>
  </si>
  <si>
    <t xml:space="preserve">Minnesota</t>
  </si>
  <si>
    <t xml:space="preserve">27</t>
  </si>
  <si>
    <t xml:space="preserve">Mississippi</t>
  </si>
  <si>
    <t xml:space="preserve">28</t>
  </si>
  <si>
    <t xml:space="preserve">Missouri</t>
  </si>
  <si>
    <t xml:space="preserve">29</t>
  </si>
  <si>
    <t xml:space="preserve">Montana</t>
  </si>
  <si>
    <t xml:space="preserve">30</t>
  </si>
  <si>
    <t xml:space="preserve">Nebraska</t>
  </si>
  <si>
    <t xml:space="preserve">31</t>
  </si>
  <si>
    <t xml:space="preserve">Nevada</t>
  </si>
  <si>
    <t xml:space="preserve">32</t>
  </si>
  <si>
    <t xml:space="preserve">New Hampshire</t>
  </si>
  <si>
    <t xml:space="preserve">33</t>
  </si>
  <si>
    <t xml:space="preserve">New Jersey</t>
  </si>
  <si>
    <t xml:space="preserve">34</t>
  </si>
  <si>
    <t xml:space="preserve">New Mexico</t>
  </si>
  <si>
    <t xml:space="preserve">35</t>
  </si>
  <si>
    <t xml:space="preserve">New York</t>
  </si>
  <si>
    <t xml:space="preserve">36</t>
  </si>
  <si>
    <t xml:space="preserve">North Carolina</t>
  </si>
  <si>
    <t xml:space="preserve">37</t>
  </si>
  <si>
    <t xml:space="preserve">North Dakota</t>
  </si>
  <si>
    <t xml:space="preserve">38</t>
  </si>
  <si>
    <t xml:space="preserve">Ohio</t>
  </si>
  <si>
    <t xml:space="preserve">39</t>
  </si>
  <si>
    <t xml:space="preserve">Oklahoma</t>
  </si>
  <si>
    <t xml:space="preserve">40</t>
  </si>
  <si>
    <t xml:space="preserve">Oregon</t>
  </si>
  <si>
    <t xml:space="preserve">41</t>
  </si>
  <si>
    <t xml:space="preserve">Pennsylvania</t>
  </si>
  <si>
    <t xml:space="preserve">42</t>
  </si>
  <si>
    <t xml:space="preserve">Rhode Island</t>
  </si>
  <si>
    <t xml:space="preserve">44</t>
  </si>
  <si>
    <t xml:space="preserve">South Carolina</t>
  </si>
  <si>
    <t xml:space="preserve">45</t>
  </si>
  <si>
    <t xml:space="preserve">South Dakota</t>
  </si>
  <si>
    <t xml:space="preserve">46</t>
  </si>
  <si>
    <t xml:space="preserve">Tennessee</t>
  </si>
  <si>
    <t xml:space="preserve">47</t>
  </si>
  <si>
    <t xml:space="preserve">Texas</t>
  </si>
  <si>
    <t xml:space="preserve">48</t>
  </si>
  <si>
    <t xml:space="preserve">Utah</t>
  </si>
  <si>
    <t xml:space="preserve">49</t>
  </si>
  <si>
    <t xml:space="preserve">Vermont</t>
  </si>
  <si>
    <t xml:space="preserve">50</t>
  </si>
  <si>
    <t xml:space="preserve">Virginia</t>
  </si>
  <si>
    <t xml:space="preserve">51</t>
  </si>
  <si>
    <t xml:space="preserve">Washington</t>
  </si>
  <si>
    <t xml:space="preserve">53</t>
  </si>
  <si>
    <t xml:space="preserve">West Virginia</t>
  </si>
  <si>
    <t xml:space="preserve">54</t>
  </si>
  <si>
    <t xml:space="preserve">Wisconsin</t>
  </si>
  <si>
    <t xml:space="preserve">55</t>
  </si>
  <si>
    <t xml:space="preserve">Wyoming</t>
  </si>
  <si>
    <t xml:space="preserve">56</t>
  </si>
  <si>
    <t xml:space="preserve">Notes and assumptions</t>
  </si>
  <si>
    <t xml:space="preserve">Source: CDC WONDER, Natality Records 2016-2024 (expanded), queried Oct 2026. Five exports (complications_mortality_2020 to 2024), one per year. https://wonder.cdc.gov/wonder/help/natality-expanded.html</t>
  </si>
  <si>
    <t xml:space="preserve">Geography: state of mother's residence (the exports are state-level, not county-level). 51 rows per year (50 states + DC).</t>
  </si>
  <si>
    <t xml:space="preserve">Each condition is collapsed to one column: births flagged "Yes" for that condition (regardless of the other conditions) divided by total live births in that state and year.</t>
  </si>
  <si>
    <t xml:space="preserve">Total Live Births = sum of all Births rows for the state-year, including "Unknown or Not Stated" (denominator choice: all live births).</t>
  </si>
  <si>
    <t xml:space="preserve">Percentages are formulas (count / total) and are stored as fractions.</t>
  </si>
  <si>
    <t xml:space="preserve">Suppression: the exports hide cells of 1-9 births (Show Suppressed: False) and zero cells, so totals and counts are very slightly understated; percentages are approximate for small states.</t>
  </si>
  <si>
    <t xml:space="preserve">Eclampsia: CDC reports it as "Not Reported" for South Carolina in 2020 and 2021 (and Tennessee 2016-2019, outside this range). Those cells are left blank rather than shown as 0%.</t>
  </si>
  <si>
    <t xml:space="preserve">Maternal Morbidity = births where the source variable "Maternal Morbidity Checked" is "At least one checked", divided by all live births (same denominator as above). Gestational diabetes, gestational hypertension and eclampsia are separate pregnancy risk factors and are not part of this flag. See the CDC WONDER documentation for exactly which conditions the flag covers.</t>
  </si>
  <si>
    <t xml:space="preserve">The "% of Total Births" column in the source files was not used (it is share of all US births, not of the state's births).</t>
  </si>
  <si>
    <t xml:space="preserve">Blue = values taken from source exports; black = formulas.</t>
  </si>
  <si>
    <t xml:space="preserve">Data-quality flag: Hawaii shows eclampsia at about 6.5-7.0% of births in 2020-2022 (and 1.5% in 2023), far above the ~0.1-0.3% seen in most states. This looks like a reporting/coding artifact in the source data, not a real rate. Values are left as reported; treat Hawaii eclampsia with caution or exclude it from comparisons.</t>
  </si>
</sst>
</file>

<file path=xl/styles.xml><?xml version="1.0" encoding="utf-8"?>
<styleSheet xmlns="http://schemas.openxmlformats.org/spreadsheetml/2006/main">
  <numFmts count="4">
    <numFmt numFmtId="164" formatCode="General"/>
    <numFmt numFmtId="165" formatCode="0"/>
    <numFmt numFmtId="166" formatCode="0.00%"/>
    <numFmt numFmtId="167" formatCode="#,##0"/>
  </numFmts>
  <fonts count="10">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1"/>
      <color rgb="FF0000FF"/>
      <name val="Arial"/>
      <family val="0"/>
      <charset val="1"/>
    </font>
    <font>
      <sz val="11"/>
      <color rgb="FF000000"/>
      <name val="Arial"/>
      <family val="0"/>
      <charset val="1"/>
    </font>
    <font>
      <b val="true"/>
      <sz val="12"/>
      <name val="Arial"/>
      <family val="0"/>
      <charset val="1"/>
    </font>
    <font>
      <sz val="11"/>
      <name val="Arial"/>
      <family val="0"/>
      <charset val="1"/>
    </font>
    <font>
      <b val="true"/>
      <sz val="11"/>
      <color rgb="FFC00000"/>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0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2"/>
    <col collapsed="false" customWidth="true" hidden="false" outlineLevel="0" max="3" min="3" style="1" width="11"/>
    <col collapsed="false" customWidth="true" hidden="false" outlineLevel="0" max="4" min="4" style="1" width="20"/>
    <col collapsed="false" customWidth="true" hidden="false" outlineLevel="0" max="5" min="5" style="1" width="22"/>
    <col collapsed="false" customWidth="true" hidden="false" outlineLevel="0" max="6" min="6" style="1" width="18"/>
    <col collapsed="false" customWidth="true" hidden="false" outlineLevel="0" max="7" min="7" style="1" width="20"/>
    <col collapsed="false" customWidth="true" hidden="false" outlineLevel="0" max="8" min="8" style="1" width="14"/>
    <col collapsed="false" customWidth="true" hidden="false" outlineLevel="0" max="9" min="9" style="1" width="18"/>
    <col collapsed="false" customWidth="true" hidden="false" outlineLevel="0" max="10" min="10" style="1" width="20"/>
    <col collapsed="false" customWidth="true" hidden="false" outlineLevel="0" max="11" min="11" style="1" width="16"/>
    <col collapsed="false" customWidth="true" hidden="false" outlineLevel="0" max="12" min="12" style="1" width="18"/>
  </cols>
  <sheetData>
    <row r="1" customFormat="false" ht="48" hidden="false" customHeight="true" outlineLevel="0" collapsed="false">
      <c r="A1" s="2" t="s">
        <v>0</v>
      </c>
      <c r="B1" s="2" t="s">
        <v>1</v>
      </c>
      <c r="C1" s="2" t="s">
        <v>2</v>
      </c>
      <c r="D1" s="2" t="s">
        <v>3</v>
      </c>
      <c r="E1" s="2" t="s">
        <v>4</v>
      </c>
      <c r="F1" s="2" t="s">
        <v>5</v>
      </c>
      <c r="G1" s="2" t="s">
        <v>6</v>
      </c>
      <c r="H1" s="2" t="s">
        <v>7</v>
      </c>
      <c r="I1" s="2" t="s">
        <v>8</v>
      </c>
      <c r="J1" s="2" t="s">
        <v>9</v>
      </c>
      <c r="K1" s="2" t="s">
        <v>10</v>
      </c>
      <c r="L1" s="2" t="s">
        <v>11</v>
      </c>
    </row>
    <row r="2" customFormat="false" ht="15" hidden="false" customHeight="true" outlineLevel="0" collapsed="false">
      <c r="A2" s="3" t="n">
        <v>2020</v>
      </c>
      <c r="B2" s="4" t="s">
        <v>12</v>
      </c>
      <c r="C2" s="4" t="s">
        <v>13</v>
      </c>
      <c r="D2" s="5" t="n">
        <f aca="false">I2/H2</f>
        <v>0.0608395370225762</v>
      </c>
      <c r="E2" s="5" t="n">
        <f aca="false">J2/H2</f>
        <v>0.111492876602981</v>
      </c>
      <c r="F2" s="5" t="n">
        <f aca="false">IF(K2="","",K2/H2)</f>
        <v>0.00111059052180402</v>
      </c>
      <c r="G2" s="5" t="n">
        <f aca="false">L2/H2</f>
        <v>0.0108456105644923</v>
      </c>
      <c r="H2" s="6" t="n">
        <v>57627</v>
      </c>
      <c r="I2" s="6" t="n">
        <v>3506</v>
      </c>
      <c r="J2" s="6" t="n">
        <v>6425</v>
      </c>
      <c r="K2" s="6" t="n">
        <v>64</v>
      </c>
      <c r="L2" s="6" t="n">
        <v>625</v>
      </c>
    </row>
    <row r="3" customFormat="false" ht="15" hidden="false" customHeight="true" outlineLevel="0" collapsed="false">
      <c r="A3" s="3" t="n">
        <v>2020</v>
      </c>
      <c r="B3" s="4" t="s">
        <v>14</v>
      </c>
      <c r="C3" s="4" t="s">
        <v>15</v>
      </c>
      <c r="D3" s="5" t="n">
        <f aca="false">I3/H3</f>
        <v>0.123902232567982</v>
      </c>
      <c r="E3" s="5" t="n">
        <f aca="false">J3/H3</f>
        <v>0.112686488202307</v>
      </c>
      <c r="F3" s="5" t="n">
        <f aca="false">IF(K3="","",K3/H3)</f>
        <v>0.00158713363665221</v>
      </c>
      <c r="G3" s="5" t="n">
        <f aca="false">L3/H3</f>
        <v>0.0217966352766903</v>
      </c>
      <c r="H3" s="6" t="n">
        <v>9451</v>
      </c>
      <c r="I3" s="6" t="n">
        <v>1171</v>
      </c>
      <c r="J3" s="6" t="n">
        <v>1065</v>
      </c>
      <c r="K3" s="6" t="n">
        <v>15</v>
      </c>
      <c r="L3" s="6" t="n">
        <v>206</v>
      </c>
    </row>
    <row r="4" customFormat="false" ht="15" hidden="false" customHeight="true" outlineLevel="0" collapsed="false">
      <c r="A4" s="3" t="n">
        <v>2020</v>
      </c>
      <c r="B4" s="4" t="s">
        <v>16</v>
      </c>
      <c r="C4" s="4" t="s">
        <v>17</v>
      </c>
      <c r="D4" s="5" t="n">
        <f aca="false">I4/H4</f>
        <v>0.0953074223319901</v>
      </c>
      <c r="E4" s="5" t="n">
        <f aca="false">J4/H4</f>
        <v>0.0888080072793449</v>
      </c>
      <c r="F4" s="5" t="n">
        <f aca="false">IF(K4="","",K4/H4)</f>
        <v>0.00116989470947615</v>
      </c>
      <c r="G4" s="5" t="n">
        <f aca="false">L4/H4</f>
        <v>0.0129338359547641</v>
      </c>
      <c r="H4" s="6" t="n">
        <v>76930</v>
      </c>
      <c r="I4" s="6" t="n">
        <v>7332</v>
      </c>
      <c r="J4" s="6" t="n">
        <v>6832</v>
      </c>
      <c r="K4" s="6" t="n">
        <v>90</v>
      </c>
      <c r="L4" s="6" t="n">
        <v>995</v>
      </c>
    </row>
    <row r="5" customFormat="false" ht="15" hidden="false" customHeight="true" outlineLevel="0" collapsed="false">
      <c r="A5" s="3" t="n">
        <v>2020</v>
      </c>
      <c r="B5" s="4" t="s">
        <v>18</v>
      </c>
      <c r="C5" s="4" t="s">
        <v>19</v>
      </c>
      <c r="D5" s="5" t="n">
        <f aca="false">I5/H5</f>
        <v>0.0657189069549672</v>
      </c>
      <c r="E5" s="5" t="n">
        <f aca="false">J5/H5</f>
        <v>0.0799069265911864</v>
      </c>
      <c r="F5" s="5" t="n">
        <f aca="false">IF(K5="","",K5/H5)</f>
        <v>0.00567520785448767</v>
      </c>
      <c r="G5" s="5" t="n">
        <f aca="false">L5/H5</f>
        <v>0.0130246020260492</v>
      </c>
      <c r="H5" s="6" t="n">
        <v>35241</v>
      </c>
      <c r="I5" s="6" t="n">
        <v>2316</v>
      </c>
      <c r="J5" s="6" t="n">
        <v>2816</v>
      </c>
      <c r="K5" s="6" t="n">
        <v>200</v>
      </c>
      <c r="L5" s="6" t="n">
        <v>459</v>
      </c>
    </row>
    <row r="6" customFormat="false" ht="15" hidden="false" customHeight="true" outlineLevel="0" collapsed="false">
      <c r="A6" s="3" t="n">
        <v>2020</v>
      </c>
      <c r="B6" s="4" t="s">
        <v>20</v>
      </c>
      <c r="C6" s="4" t="s">
        <v>21</v>
      </c>
      <c r="D6" s="5" t="n">
        <f aca="false">I6/H6</f>
        <v>0.0811100217968609</v>
      </c>
      <c r="E6" s="5" t="n">
        <f aca="false">J6/H6</f>
        <v>0.0663638267292335</v>
      </c>
      <c r="F6" s="5" t="n">
        <f aca="false">IF(K6="","",K6/H6)</f>
        <v>0.000861404327010023</v>
      </c>
      <c r="G6" s="5" t="n">
        <f aca="false">L6/H6</f>
        <v>0.0114124175479007</v>
      </c>
      <c r="H6" s="6" t="n">
        <v>420244</v>
      </c>
      <c r="I6" s="6" t="n">
        <v>34086</v>
      </c>
      <c r="J6" s="6" t="n">
        <v>27889</v>
      </c>
      <c r="K6" s="6" t="n">
        <v>362</v>
      </c>
      <c r="L6" s="6" t="n">
        <v>4796</v>
      </c>
    </row>
    <row r="7" customFormat="false" ht="15" hidden="false" customHeight="true" outlineLevel="0" collapsed="false">
      <c r="A7" s="3" t="n">
        <v>2020</v>
      </c>
      <c r="B7" s="4" t="s">
        <v>22</v>
      </c>
      <c r="C7" s="4" t="s">
        <v>23</v>
      </c>
      <c r="D7" s="5" t="n">
        <f aca="false">I7/H7</f>
        <v>0.0598129320862139</v>
      </c>
      <c r="E7" s="5" t="n">
        <f aca="false">J7/H7</f>
        <v>0.0967710451403009</v>
      </c>
      <c r="F7" s="5" t="n">
        <f aca="false">IF(K7="","",K7/H7)</f>
        <v>0.0169499796665311</v>
      </c>
      <c r="G7" s="5" t="n">
        <f aca="false">L7/H7</f>
        <v>0.0153395689304595</v>
      </c>
      <c r="H7" s="6" t="n">
        <v>61475</v>
      </c>
      <c r="I7" s="6" t="n">
        <v>3677</v>
      </c>
      <c r="J7" s="6" t="n">
        <v>5949</v>
      </c>
      <c r="K7" s="6" t="n">
        <v>1042</v>
      </c>
      <c r="L7" s="6" t="n">
        <v>943</v>
      </c>
    </row>
    <row r="8" customFormat="false" ht="15" hidden="false" customHeight="true" outlineLevel="0" collapsed="false">
      <c r="A8" s="3" t="n">
        <v>2020</v>
      </c>
      <c r="B8" s="4" t="s">
        <v>24</v>
      </c>
      <c r="C8" s="4" t="s">
        <v>25</v>
      </c>
      <c r="D8" s="5" t="n">
        <f aca="false">I8/H8</f>
        <v>0.0743033130008372</v>
      </c>
      <c r="E8" s="5" t="n">
        <f aca="false">J8/H8</f>
        <v>0.0786688195191963</v>
      </c>
      <c r="F8" s="5" t="n">
        <f aca="false">IF(K8="","",K8/H8)</f>
        <v>0.00316947733524698</v>
      </c>
      <c r="G8" s="5" t="n">
        <f aca="false">L8/H8</f>
        <v>0.0145915560339672</v>
      </c>
      <c r="H8" s="6" t="n">
        <v>33444</v>
      </c>
      <c r="I8" s="6" t="n">
        <v>2485</v>
      </c>
      <c r="J8" s="6" t="n">
        <v>2631</v>
      </c>
      <c r="K8" s="6" t="n">
        <v>106</v>
      </c>
      <c r="L8" s="6" t="n">
        <v>488</v>
      </c>
    </row>
    <row r="9" customFormat="false" ht="15" hidden="false" customHeight="true" outlineLevel="0" collapsed="false">
      <c r="A9" s="3" t="n">
        <v>2020</v>
      </c>
      <c r="B9" s="4" t="s">
        <v>26</v>
      </c>
      <c r="C9" s="4" t="s">
        <v>27</v>
      </c>
      <c r="D9" s="5" t="n">
        <f aca="false">I9/H9</f>
        <v>0.0907687855695958</v>
      </c>
      <c r="E9" s="5" t="n">
        <f aca="false">J9/H9</f>
        <v>0.102826275682454</v>
      </c>
      <c r="F9" s="5" t="n">
        <f aca="false">IF(K9="","",K9/H9)</f>
        <v>0.00289379762708595</v>
      </c>
      <c r="G9" s="5" t="n">
        <f aca="false">L9/H9</f>
        <v>0.024983119513842</v>
      </c>
      <c r="H9" s="6" t="n">
        <v>10367</v>
      </c>
      <c r="I9" s="6" t="n">
        <v>941</v>
      </c>
      <c r="J9" s="6" t="n">
        <v>1066</v>
      </c>
      <c r="K9" s="6" t="n">
        <v>30</v>
      </c>
      <c r="L9" s="6" t="n">
        <v>259</v>
      </c>
    </row>
    <row r="10" customFormat="false" ht="15" hidden="false" customHeight="true" outlineLevel="0" collapsed="false">
      <c r="A10" s="3" t="n">
        <v>2020</v>
      </c>
      <c r="B10" s="4" t="s">
        <v>28</v>
      </c>
      <c r="C10" s="4" t="s">
        <v>29</v>
      </c>
      <c r="D10" s="5" t="n">
        <f aca="false">I10/H10</f>
        <v>0.0572975411685089</v>
      </c>
      <c r="E10" s="5" t="n">
        <f aca="false">J10/H10</f>
        <v>0.0845928265283104</v>
      </c>
      <c r="F10" s="5" t="n">
        <f aca="false">IF(K10="","",K10/H10)</f>
        <v>0.00157906609519513</v>
      </c>
      <c r="G10" s="5" t="n">
        <f aca="false">L10/H10</f>
        <v>0.0191743740130837</v>
      </c>
      <c r="H10" s="6" t="n">
        <v>8866</v>
      </c>
      <c r="I10" s="6" t="n">
        <v>508</v>
      </c>
      <c r="J10" s="6" t="n">
        <v>750</v>
      </c>
      <c r="K10" s="6" t="n">
        <v>14</v>
      </c>
      <c r="L10" s="6" t="n">
        <v>170</v>
      </c>
    </row>
    <row r="11" customFormat="false" ht="15" hidden="false" customHeight="true" outlineLevel="0" collapsed="false">
      <c r="A11" s="3" t="n">
        <v>2020</v>
      </c>
      <c r="B11" s="4" t="s">
        <v>30</v>
      </c>
      <c r="C11" s="4" t="s">
        <v>31</v>
      </c>
      <c r="D11" s="5" t="n">
        <f aca="false">I11/H11</f>
        <v>0.0710449498225665</v>
      </c>
      <c r="E11" s="5" t="n">
        <f aca="false">J11/H11</f>
        <v>0.0844621665967108</v>
      </c>
      <c r="F11" s="5" t="n">
        <f aca="false">IF(K11="","",K11/H11)</f>
        <v>0.00131167245392452</v>
      </c>
      <c r="G11" s="5" t="n">
        <f aca="false">L11/H11</f>
        <v>0.00892891212271531</v>
      </c>
      <c r="H11" s="6" t="n">
        <v>209656</v>
      </c>
      <c r="I11" s="6" t="n">
        <v>14895</v>
      </c>
      <c r="J11" s="6" t="n">
        <v>17708</v>
      </c>
      <c r="K11" s="6" t="n">
        <v>275</v>
      </c>
      <c r="L11" s="6" t="n">
        <v>1872</v>
      </c>
    </row>
    <row r="12" customFormat="false" ht="15" hidden="false" customHeight="true" outlineLevel="0" collapsed="false">
      <c r="A12" s="3" t="n">
        <v>2020</v>
      </c>
      <c r="B12" s="4" t="s">
        <v>32</v>
      </c>
      <c r="C12" s="4" t="s">
        <v>33</v>
      </c>
      <c r="D12" s="5" t="n">
        <f aca="false">I12/H12</f>
        <v>0.0606038333700827</v>
      </c>
      <c r="E12" s="5" t="n">
        <f aca="false">J12/H12</f>
        <v>0.0793378575920164</v>
      </c>
      <c r="F12" s="5" t="n">
        <f aca="false">IF(K12="","",K12/H12)</f>
        <v>0.00176397089448024</v>
      </c>
      <c r="G12" s="5" t="n">
        <f aca="false">L12/H12</f>
        <v>0.00898318511077901</v>
      </c>
      <c r="H12" s="6" t="n">
        <v>122451</v>
      </c>
      <c r="I12" s="6" t="n">
        <v>7421</v>
      </c>
      <c r="J12" s="6" t="n">
        <v>9715</v>
      </c>
      <c r="K12" s="6" t="n">
        <v>216</v>
      </c>
      <c r="L12" s="6" t="n">
        <v>1100</v>
      </c>
    </row>
    <row r="13" customFormat="false" ht="15" hidden="false" customHeight="true" outlineLevel="0" collapsed="false">
      <c r="A13" s="3" t="n">
        <v>2020</v>
      </c>
      <c r="B13" s="4" t="s">
        <v>34</v>
      </c>
      <c r="C13" s="4" t="s">
        <v>35</v>
      </c>
      <c r="D13" s="5" t="n">
        <f aca="false">I13/H13</f>
        <v>0.0851657055953362</v>
      </c>
      <c r="E13" s="5" t="n">
        <f aca="false">J13/H13</f>
        <v>0.0548127495089031</v>
      </c>
      <c r="F13" s="5" t="n">
        <f aca="false">IF(K13="","",K13/H13)</f>
        <v>0.0657752994106837</v>
      </c>
      <c r="G13" s="5" t="n">
        <f aca="false">L13/H13</f>
        <v>0.00760408085672644</v>
      </c>
      <c r="H13" s="6" t="n">
        <v>15781</v>
      </c>
      <c r="I13" s="6" t="n">
        <v>1344</v>
      </c>
      <c r="J13" s="6" t="n">
        <v>865</v>
      </c>
      <c r="K13" s="6" t="n">
        <v>1038</v>
      </c>
      <c r="L13" s="6" t="n">
        <v>120</v>
      </c>
    </row>
    <row r="14" customFormat="false" ht="15" hidden="false" customHeight="true" outlineLevel="0" collapsed="false">
      <c r="A14" s="3" t="n">
        <v>2020</v>
      </c>
      <c r="B14" s="4" t="s">
        <v>36</v>
      </c>
      <c r="C14" s="4" t="s">
        <v>37</v>
      </c>
      <c r="D14" s="5" t="n">
        <f aca="false">I14/H14</f>
        <v>0.0575877294910528</v>
      </c>
      <c r="E14" s="5" t="n">
        <f aca="false">J14/H14</f>
        <v>0.084173832210086</v>
      </c>
      <c r="F14" s="5" t="n">
        <f aca="false">IF(K14="","",K14/H14)</f>
        <v>0.000743667208924007</v>
      </c>
      <c r="G14" s="5" t="n">
        <f aca="false">L14/H14</f>
        <v>0.0177085754125029</v>
      </c>
      <c r="H14" s="6" t="n">
        <v>21515</v>
      </c>
      <c r="I14" s="6" t="n">
        <v>1239</v>
      </c>
      <c r="J14" s="6" t="n">
        <v>1811</v>
      </c>
      <c r="K14" s="6" t="n">
        <v>16</v>
      </c>
      <c r="L14" s="6" t="n">
        <v>381</v>
      </c>
    </row>
    <row r="15" customFormat="false" ht="15" hidden="false" customHeight="true" outlineLevel="0" collapsed="false">
      <c r="A15" s="3" t="n">
        <v>2020</v>
      </c>
      <c r="B15" s="4" t="s">
        <v>38</v>
      </c>
      <c r="C15" s="4" t="s">
        <v>39</v>
      </c>
      <c r="D15" s="5" t="n">
        <f aca="false">I15/H15</f>
        <v>0.0905564101602071</v>
      </c>
      <c r="E15" s="5" t="n">
        <f aca="false">J15/H15</f>
        <v>0.0952162983529059</v>
      </c>
      <c r="F15" s="5" t="n">
        <f aca="false">IF(K15="","",K15/H15)</f>
        <v>0.000937980715116497</v>
      </c>
      <c r="G15" s="5" t="n">
        <f aca="false">L15/H15</f>
        <v>0.0165759951975387</v>
      </c>
      <c r="H15" s="6" t="n">
        <v>133265</v>
      </c>
      <c r="I15" s="6" t="n">
        <v>12068</v>
      </c>
      <c r="J15" s="6" t="n">
        <v>12689</v>
      </c>
      <c r="K15" s="6" t="n">
        <v>125</v>
      </c>
      <c r="L15" s="6" t="n">
        <v>2209</v>
      </c>
    </row>
    <row r="16" customFormat="false" ht="15" hidden="false" customHeight="true" outlineLevel="0" collapsed="false">
      <c r="A16" s="3" t="n">
        <v>2020</v>
      </c>
      <c r="B16" s="4" t="s">
        <v>40</v>
      </c>
      <c r="C16" s="4" t="s">
        <v>41</v>
      </c>
      <c r="D16" s="5" t="n">
        <f aca="false">I16/H16</f>
        <v>0.0786185131455041</v>
      </c>
      <c r="E16" s="5" t="n">
        <f aca="false">J16/H16</f>
        <v>0.09840675981777</v>
      </c>
      <c r="F16" s="5" t="n">
        <f aca="false">IF(K16="","",K16/H16)</f>
        <v>0.00118347713216767</v>
      </c>
      <c r="G16" s="5" t="n">
        <f aca="false">L16/H16</f>
        <v>0.0142399022676949</v>
      </c>
      <c r="H16" s="6" t="n">
        <v>78582</v>
      </c>
      <c r="I16" s="6" t="n">
        <v>6178</v>
      </c>
      <c r="J16" s="6" t="n">
        <v>7733</v>
      </c>
      <c r="K16" s="6" t="n">
        <v>93</v>
      </c>
      <c r="L16" s="6" t="n">
        <v>1119</v>
      </c>
    </row>
    <row r="17" customFormat="false" ht="15" hidden="false" customHeight="true" outlineLevel="0" collapsed="false">
      <c r="A17" s="3" t="n">
        <v>2020</v>
      </c>
      <c r="B17" s="4" t="s">
        <v>42</v>
      </c>
      <c r="C17" s="4" t="s">
        <v>43</v>
      </c>
      <c r="D17" s="5" t="n">
        <f aca="false">I17/H17</f>
        <v>0.0934626038781164</v>
      </c>
      <c r="E17" s="5" t="n">
        <f aca="false">J17/H17</f>
        <v>0.0866481994459834</v>
      </c>
      <c r="F17" s="5" t="n">
        <f aca="false">IF(K17="","",K17/H17)</f>
        <v>0.0021606648199446</v>
      </c>
      <c r="G17" s="5" t="n">
        <f aca="false">L17/H17</f>
        <v>0.0205817174515235</v>
      </c>
      <c r="H17" s="6" t="n">
        <v>36100</v>
      </c>
      <c r="I17" s="6" t="n">
        <v>3374</v>
      </c>
      <c r="J17" s="6" t="n">
        <v>3128</v>
      </c>
      <c r="K17" s="6" t="n">
        <v>78</v>
      </c>
      <c r="L17" s="6" t="n">
        <v>743</v>
      </c>
    </row>
    <row r="18" customFormat="false" ht="15" hidden="false" customHeight="true" outlineLevel="0" collapsed="false">
      <c r="A18" s="3" t="n">
        <v>2020</v>
      </c>
      <c r="B18" s="4" t="s">
        <v>44</v>
      </c>
      <c r="C18" s="4" t="s">
        <v>45</v>
      </c>
      <c r="D18" s="5" t="n">
        <f aca="false">I18/H18</f>
        <v>0.0867718093464471</v>
      </c>
      <c r="E18" s="5" t="n">
        <f aca="false">J18/H18</f>
        <v>0.0823197346214282</v>
      </c>
      <c r="F18" s="5" t="n">
        <f aca="false">IF(K18="","",K18/H18)</f>
        <v>0.00352092184135483</v>
      </c>
      <c r="G18" s="5" t="n">
        <f aca="false">L18/H18</f>
        <v>0.0121922830704766</v>
      </c>
      <c r="H18" s="6" t="n">
        <v>34366</v>
      </c>
      <c r="I18" s="6" t="n">
        <v>2982</v>
      </c>
      <c r="J18" s="6" t="n">
        <v>2829</v>
      </c>
      <c r="K18" s="6" t="n">
        <v>121</v>
      </c>
      <c r="L18" s="6" t="n">
        <v>419</v>
      </c>
    </row>
    <row r="19" customFormat="false" ht="15" hidden="false" customHeight="true" outlineLevel="0" collapsed="false">
      <c r="A19" s="3" t="n">
        <v>2020</v>
      </c>
      <c r="B19" s="4" t="s">
        <v>46</v>
      </c>
      <c r="C19" s="4" t="s">
        <v>47</v>
      </c>
      <c r="D19" s="5" t="n">
        <f aca="false">I19/H19</f>
        <v>0.0790457194864546</v>
      </c>
      <c r="E19" s="5" t="n">
        <f aca="false">J19/H19</f>
        <v>0.0944017350554792</v>
      </c>
      <c r="F19" s="5" t="n">
        <f aca="false">IF(K19="","",K19/H19)</f>
        <v>0.00104568075753762</v>
      </c>
      <c r="G19" s="5" t="n">
        <f aca="false">L19/H19</f>
        <v>0.0125868980073972</v>
      </c>
      <c r="H19" s="6" t="n">
        <v>51641</v>
      </c>
      <c r="I19" s="6" t="n">
        <v>4082</v>
      </c>
      <c r="J19" s="6" t="n">
        <v>4875</v>
      </c>
      <c r="K19" s="6" t="n">
        <v>54</v>
      </c>
      <c r="L19" s="6" t="n">
        <v>650</v>
      </c>
    </row>
    <row r="20" customFormat="false" ht="15" hidden="false" customHeight="true" outlineLevel="0" collapsed="false">
      <c r="A20" s="3" t="n">
        <v>2020</v>
      </c>
      <c r="B20" s="4" t="s">
        <v>48</v>
      </c>
      <c r="C20" s="4" t="s">
        <v>49</v>
      </c>
      <c r="D20" s="5" t="n">
        <f aca="false">I20/H20</f>
        <v>0.0756050321927728</v>
      </c>
      <c r="E20" s="5" t="n">
        <f aca="false">J20/H20</f>
        <v>0.126031651864389</v>
      </c>
      <c r="F20" s="5" t="n">
        <f aca="false">IF(K20="","",K20/H20)</f>
        <v>0.00144823855804296</v>
      </c>
      <c r="G20" s="5" t="n">
        <f aca="false">L20/H20</f>
        <v>0.0122838547573764</v>
      </c>
      <c r="H20" s="6" t="n">
        <v>57311</v>
      </c>
      <c r="I20" s="6" t="n">
        <v>4333</v>
      </c>
      <c r="J20" s="6" t="n">
        <v>7223</v>
      </c>
      <c r="K20" s="6" t="n">
        <v>83</v>
      </c>
      <c r="L20" s="6" t="n">
        <v>704</v>
      </c>
    </row>
    <row r="21" customFormat="false" ht="15" hidden="false" customHeight="true" outlineLevel="0" collapsed="false">
      <c r="A21" s="3" t="n">
        <v>2020</v>
      </c>
      <c r="B21" s="4" t="s">
        <v>50</v>
      </c>
      <c r="C21" s="4" t="s">
        <v>51</v>
      </c>
      <c r="D21" s="5" t="n">
        <f aca="false">I21/H21</f>
        <v>0.0912088865746767</v>
      </c>
      <c r="E21" s="5" t="n">
        <f aca="false">J21/H21</f>
        <v>0.0892996615464723</v>
      </c>
      <c r="F21" s="5" t="n">
        <f aca="false">IF(K21="","",K21/H21)</f>
        <v>0</v>
      </c>
      <c r="G21" s="5" t="n">
        <f aca="false">L21/H21</f>
        <v>0.021348607133559</v>
      </c>
      <c r="H21" s="6" t="n">
        <v>11523</v>
      </c>
      <c r="I21" s="6" t="n">
        <v>1051</v>
      </c>
      <c r="J21" s="6" t="n">
        <v>1029</v>
      </c>
      <c r="K21" s="6" t="n">
        <v>0</v>
      </c>
      <c r="L21" s="6" t="n">
        <v>246</v>
      </c>
    </row>
    <row r="22" customFormat="false" ht="15" hidden="false" customHeight="true" outlineLevel="0" collapsed="false">
      <c r="A22" s="3" t="n">
        <v>2020</v>
      </c>
      <c r="B22" s="4" t="s">
        <v>52</v>
      </c>
      <c r="C22" s="4" t="s">
        <v>53</v>
      </c>
      <c r="D22" s="5" t="n">
        <f aca="false">I22/H22</f>
        <v>0.089074673903528</v>
      </c>
      <c r="E22" s="5" t="n">
        <f aca="false">J22/H22</f>
        <v>0.0860690419913041</v>
      </c>
      <c r="F22" s="5" t="n">
        <f aca="false">IF(K22="","",K22/H22)</f>
        <v>0.00157576818699116</v>
      </c>
      <c r="G22" s="5" t="n">
        <f aca="false">L22/H22</f>
        <v>0.0144299512679098</v>
      </c>
      <c r="H22" s="6" t="n">
        <v>68538</v>
      </c>
      <c r="I22" s="6" t="n">
        <v>6105</v>
      </c>
      <c r="J22" s="6" t="n">
        <v>5899</v>
      </c>
      <c r="K22" s="6" t="n">
        <v>108</v>
      </c>
      <c r="L22" s="6" t="n">
        <v>989</v>
      </c>
    </row>
    <row r="23" customFormat="false" ht="15" hidden="false" customHeight="true" outlineLevel="0" collapsed="false">
      <c r="A23" s="3" t="n">
        <v>2020</v>
      </c>
      <c r="B23" s="4" t="s">
        <v>54</v>
      </c>
      <c r="C23" s="4" t="s">
        <v>55</v>
      </c>
      <c r="D23" s="5" t="n">
        <f aca="false">I23/H23</f>
        <v>0.0785320603559919</v>
      </c>
      <c r="E23" s="5" t="n">
        <f aca="false">J23/H23</f>
        <v>0.0672077824292986</v>
      </c>
      <c r="F23" s="5" t="n">
        <f aca="false">IF(K23="","",K23/H23)</f>
        <v>0.00183718338704334</v>
      </c>
      <c r="G23" s="5" t="n">
        <f aca="false">L23/H23</f>
        <v>0.0194861910068367</v>
      </c>
      <c r="H23" s="6" t="n">
        <v>66406</v>
      </c>
      <c r="I23" s="6" t="n">
        <v>5215</v>
      </c>
      <c r="J23" s="6" t="n">
        <v>4463</v>
      </c>
      <c r="K23" s="6" t="n">
        <v>122</v>
      </c>
      <c r="L23" s="6" t="n">
        <v>1294</v>
      </c>
    </row>
    <row r="24" customFormat="false" ht="15" hidden="false" customHeight="true" outlineLevel="0" collapsed="false">
      <c r="A24" s="3" t="n">
        <v>2020</v>
      </c>
      <c r="B24" s="4" t="s">
        <v>56</v>
      </c>
      <c r="C24" s="4" t="s">
        <v>57</v>
      </c>
      <c r="D24" s="5" t="n">
        <f aca="false">I24/H24</f>
        <v>0.0694248234106963</v>
      </c>
      <c r="E24" s="5" t="n">
        <f aca="false">J24/H24</f>
        <v>0.0830041804814762</v>
      </c>
      <c r="F24" s="5" t="n">
        <f aca="false">IF(K24="","",K24/H24)</f>
        <v>0.00321945125174187</v>
      </c>
      <c r="G24" s="5" t="n">
        <f aca="false">L24/H24</f>
        <v>0.0132045552832637</v>
      </c>
      <c r="H24" s="6" t="n">
        <v>104055</v>
      </c>
      <c r="I24" s="6" t="n">
        <v>7224</v>
      </c>
      <c r="J24" s="6" t="n">
        <v>8637</v>
      </c>
      <c r="K24" s="6" t="n">
        <v>335</v>
      </c>
      <c r="L24" s="6" t="n">
        <v>1374</v>
      </c>
    </row>
    <row r="25" customFormat="false" ht="15" hidden="false" customHeight="true" outlineLevel="0" collapsed="false">
      <c r="A25" s="3" t="n">
        <v>2020</v>
      </c>
      <c r="B25" s="4" t="s">
        <v>58</v>
      </c>
      <c r="C25" s="4" t="s">
        <v>59</v>
      </c>
      <c r="D25" s="5" t="n">
        <f aca="false">I25/H25</f>
        <v>0.0845354648504627</v>
      </c>
      <c r="E25" s="5" t="n">
        <f aca="false">J25/H25</f>
        <v>0.101956518311813</v>
      </c>
      <c r="F25" s="5" t="n">
        <f aca="false">IF(K25="","",K25/H25)</f>
        <v>0.00113512746535496</v>
      </c>
      <c r="G25" s="5" t="n">
        <f aca="false">L25/H25</f>
        <v>0.0205111226725946</v>
      </c>
      <c r="H25" s="6" t="n">
        <v>63429</v>
      </c>
      <c r="I25" s="6" t="n">
        <v>5362</v>
      </c>
      <c r="J25" s="6" t="n">
        <v>6467</v>
      </c>
      <c r="K25" s="6" t="n">
        <v>72</v>
      </c>
      <c r="L25" s="6" t="n">
        <v>1301</v>
      </c>
    </row>
    <row r="26" customFormat="false" ht="15" hidden="false" customHeight="true" outlineLevel="0" collapsed="false">
      <c r="A26" s="3" t="n">
        <v>2020</v>
      </c>
      <c r="B26" s="4" t="s">
        <v>60</v>
      </c>
      <c r="C26" s="4" t="s">
        <v>61</v>
      </c>
      <c r="D26" s="5" t="n">
        <f aca="false">I26/H26</f>
        <v>0.0470790668810471</v>
      </c>
      <c r="E26" s="5" t="n">
        <f aca="false">J26/H26</f>
        <v>0.0889114552480889</v>
      </c>
      <c r="F26" s="5" t="n">
        <f aca="false">IF(K26="","",K26/H26)</f>
        <v>0.0022002200220022</v>
      </c>
      <c r="G26" s="5" t="n">
        <f aca="false">L26/H26</f>
        <v>0.0097035344560097</v>
      </c>
      <c r="H26" s="6" t="n">
        <v>35451</v>
      </c>
      <c r="I26" s="6" t="n">
        <v>1669</v>
      </c>
      <c r="J26" s="6" t="n">
        <v>3152</v>
      </c>
      <c r="K26" s="6" t="n">
        <v>78</v>
      </c>
      <c r="L26" s="6" t="n">
        <v>344</v>
      </c>
    </row>
    <row r="27" customFormat="false" ht="15" hidden="false" customHeight="true" outlineLevel="0" collapsed="false">
      <c r="A27" s="3" t="n">
        <v>2020</v>
      </c>
      <c r="B27" s="4" t="s">
        <v>62</v>
      </c>
      <c r="C27" s="4" t="s">
        <v>63</v>
      </c>
      <c r="D27" s="5" t="n">
        <f aca="false">I27/H27</f>
        <v>0.0857019126669073</v>
      </c>
      <c r="E27" s="5" t="n">
        <f aca="false">J27/H27</f>
        <v>0.0918513172140022</v>
      </c>
      <c r="F27" s="5" t="n">
        <f aca="false">IF(K27="","",K27/H27)</f>
        <v>0.0058751353302057</v>
      </c>
      <c r="G27" s="5" t="n">
        <f aca="false">L27/H27</f>
        <v>0.0130350054132082</v>
      </c>
      <c r="H27" s="6" t="n">
        <v>69275</v>
      </c>
      <c r="I27" s="6" t="n">
        <v>5937</v>
      </c>
      <c r="J27" s="6" t="n">
        <v>6363</v>
      </c>
      <c r="K27" s="6" t="n">
        <v>407</v>
      </c>
      <c r="L27" s="6" t="n">
        <v>903</v>
      </c>
    </row>
    <row r="28" customFormat="false" ht="15" hidden="false" customHeight="true" outlineLevel="0" collapsed="false">
      <c r="A28" s="3" t="n">
        <v>2020</v>
      </c>
      <c r="B28" s="4" t="s">
        <v>64</v>
      </c>
      <c r="C28" s="4" t="s">
        <v>65</v>
      </c>
      <c r="D28" s="5" t="n">
        <f aca="false">I28/H28</f>
        <v>0.0616355704075002</v>
      </c>
      <c r="E28" s="5" t="n">
        <f aca="false">J28/H28</f>
        <v>0.0930103035366193</v>
      </c>
      <c r="F28" s="5" t="n">
        <f aca="false">IF(K28="","",K28/H28)</f>
        <v>0.00343451220644203</v>
      </c>
      <c r="G28" s="5" t="n">
        <f aca="false">L28/H28</f>
        <v>0.0184721061914044</v>
      </c>
      <c r="H28" s="6" t="n">
        <v>10773</v>
      </c>
      <c r="I28" s="6" t="n">
        <v>664</v>
      </c>
      <c r="J28" s="6" t="n">
        <v>1002</v>
      </c>
      <c r="K28" s="6" t="n">
        <v>37</v>
      </c>
      <c r="L28" s="6" t="n">
        <v>199</v>
      </c>
    </row>
    <row r="29" customFormat="false" ht="15" hidden="false" customHeight="true" outlineLevel="0" collapsed="false">
      <c r="A29" s="3" t="n">
        <v>2020</v>
      </c>
      <c r="B29" s="4" t="s">
        <v>66</v>
      </c>
      <c r="C29" s="4" t="s">
        <v>67</v>
      </c>
      <c r="D29" s="5" t="n">
        <f aca="false">I29/H29</f>
        <v>0.0784863349684653</v>
      </c>
      <c r="E29" s="5" t="n">
        <f aca="false">J29/H29</f>
        <v>0.0882146832103549</v>
      </c>
      <c r="F29" s="5" t="n">
        <f aca="false">IF(K29="","",K29/H29)</f>
        <v>0.00107176717919123</v>
      </c>
      <c r="G29" s="5" t="n">
        <f aca="false">L29/H29</f>
        <v>0.0201574673317119</v>
      </c>
      <c r="H29" s="6" t="n">
        <v>24259</v>
      </c>
      <c r="I29" s="6" t="n">
        <v>1904</v>
      </c>
      <c r="J29" s="6" t="n">
        <v>2140</v>
      </c>
      <c r="K29" s="6" t="n">
        <v>26</v>
      </c>
      <c r="L29" s="6" t="n">
        <v>489</v>
      </c>
    </row>
    <row r="30" customFormat="false" ht="15" hidden="false" customHeight="true" outlineLevel="0" collapsed="false">
      <c r="A30" s="3" t="n">
        <v>2020</v>
      </c>
      <c r="B30" s="4" t="s">
        <v>68</v>
      </c>
      <c r="C30" s="4" t="s">
        <v>69</v>
      </c>
      <c r="D30" s="5" t="n">
        <f aca="false">I30/H30</f>
        <v>0.080026160111775</v>
      </c>
      <c r="E30" s="5" t="n">
        <f aca="false">J30/H30</f>
        <v>0.0685811112102024</v>
      </c>
      <c r="F30" s="5" t="n">
        <f aca="false">IF(K30="","",K30/H30)</f>
        <v>0.008977674722792</v>
      </c>
      <c r="G30" s="5" t="n">
        <f aca="false">L30/H30</f>
        <v>0.0121585064954368</v>
      </c>
      <c r="H30" s="6" t="n">
        <v>33639</v>
      </c>
      <c r="I30" s="6" t="n">
        <v>2692</v>
      </c>
      <c r="J30" s="6" t="n">
        <v>2307</v>
      </c>
      <c r="K30" s="6" t="n">
        <v>302</v>
      </c>
      <c r="L30" s="6" t="n">
        <v>409</v>
      </c>
    </row>
    <row r="31" customFormat="false" ht="15" hidden="false" customHeight="true" outlineLevel="0" collapsed="false">
      <c r="A31" s="3" t="n">
        <v>2020</v>
      </c>
      <c r="B31" s="4" t="s">
        <v>70</v>
      </c>
      <c r="C31" s="4" t="s">
        <v>71</v>
      </c>
      <c r="D31" s="5" t="n">
        <f aca="false">I31/H31</f>
        <v>0.0808561236623068</v>
      </c>
      <c r="E31" s="5" t="n">
        <f aca="false">J31/H31</f>
        <v>0.103023611347036</v>
      </c>
      <c r="F31" s="5" t="n">
        <f aca="false">IF(K31="","",K31/H31)</f>
        <v>0.000934261933072873</v>
      </c>
      <c r="G31" s="5" t="n">
        <f aca="false">L31/H31</f>
        <v>0.0224222863937489</v>
      </c>
      <c r="H31" s="6" t="n">
        <v>11774</v>
      </c>
      <c r="I31" s="6" t="n">
        <v>952</v>
      </c>
      <c r="J31" s="6" t="n">
        <v>1213</v>
      </c>
      <c r="K31" s="6" t="n">
        <v>11</v>
      </c>
      <c r="L31" s="6" t="n">
        <v>264</v>
      </c>
    </row>
    <row r="32" customFormat="false" ht="15" hidden="false" customHeight="true" outlineLevel="0" collapsed="false">
      <c r="A32" s="3" t="n">
        <v>2020</v>
      </c>
      <c r="B32" s="4" t="s">
        <v>72</v>
      </c>
      <c r="C32" s="4" t="s">
        <v>73</v>
      </c>
      <c r="D32" s="5" t="n">
        <f aca="false">I32/H32</f>
        <v>0.095584330705445</v>
      </c>
      <c r="E32" s="5" t="n">
        <f aca="false">J32/H32</f>
        <v>0.0671132715166864</v>
      </c>
      <c r="F32" s="5" t="n">
        <f aca="false">IF(K32="","",K32/H32)</f>
        <v>0.000755688084637066</v>
      </c>
      <c r="G32" s="5" t="n">
        <f aca="false">L32/H32</f>
        <v>0.0150933376904538</v>
      </c>
      <c r="H32" s="6" t="n">
        <v>97924</v>
      </c>
      <c r="I32" s="6" t="n">
        <v>9360</v>
      </c>
      <c r="J32" s="6" t="n">
        <v>6572</v>
      </c>
      <c r="K32" s="6" t="n">
        <v>74</v>
      </c>
      <c r="L32" s="6" t="n">
        <v>1478</v>
      </c>
    </row>
    <row r="33" customFormat="false" ht="15" hidden="false" customHeight="true" outlineLevel="0" collapsed="false">
      <c r="A33" s="3" t="n">
        <v>2020</v>
      </c>
      <c r="B33" s="4" t="s">
        <v>74</v>
      </c>
      <c r="C33" s="4" t="s">
        <v>75</v>
      </c>
      <c r="D33" s="5" t="n">
        <f aca="false">I33/H33</f>
        <v>0.0639795265515035</v>
      </c>
      <c r="E33" s="5" t="n">
        <f aca="false">J33/H33</f>
        <v>0.0778265240837218</v>
      </c>
      <c r="F33" s="5" t="n">
        <f aca="false">IF(K33="","",K33/H33)</f>
        <v>0.00804314048076044</v>
      </c>
      <c r="G33" s="5" t="n">
        <f aca="false">L33/H33</f>
        <v>0.0107851201901106</v>
      </c>
      <c r="H33" s="6" t="n">
        <v>21882</v>
      </c>
      <c r="I33" s="6" t="n">
        <v>1400</v>
      </c>
      <c r="J33" s="6" t="n">
        <v>1703</v>
      </c>
      <c r="K33" s="6" t="n">
        <v>176</v>
      </c>
      <c r="L33" s="6" t="n">
        <v>236</v>
      </c>
    </row>
    <row r="34" customFormat="false" ht="15" hidden="false" customHeight="true" outlineLevel="0" collapsed="false">
      <c r="A34" s="3" t="n">
        <v>2020</v>
      </c>
      <c r="B34" s="4" t="s">
        <v>76</v>
      </c>
      <c r="C34" s="4" t="s">
        <v>77</v>
      </c>
      <c r="D34" s="5" t="n">
        <f aca="false">I34/H34</f>
        <v>0.0898055121608645</v>
      </c>
      <c r="E34" s="5" t="n">
        <f aca="false">J34/H34</f>
        <v>0.0770403068999948</v>
      </c>
      <c r="F34" s="5" t="n">
        <f aca="false">IF(K34="","",K34/H34)</f>
        <v>0.00246035954691165</v>
      </c>
      <c r="G34" s="5" t="n">
        <f aca="false">L34/H34</f>
        <v>0.0188993832380243</v>
      </c>
      <c r="H34" s="6" t="n">
        <v>209319</v>
      </c>
      <c r="I34" s="6" t="n">
        <v>18798</v>
      </c>
      <c r="J34" s="6" t="n">
        <v>16126</v>
      </c>
      <c r="K34" s="6" t="n">
        <v>515</v>
      </c>
      <c r="L34" s="6" t="n">
        <v>3956</v>
      </c>
    </row>
    <row r="35" customFormat="false" ht="15" hidden="false" customHeight="true" outlineLevel="0" collapsed="false">
      <c r="A35" s="3" t="n">
        <v>2020</v>
      </c>
      <c r="B35" s="4" t="s">
        <v>78</v>
      </c>
      <c r="C35" s="4" t="s">
        <v>79</v>
      </c>
      <c r="D35" s="5" t="n">
        <f aca="false">I35/H35</f>
        <v>0.0735869909783326</v>
      </c>
      <c r="E35" s="5" t="n">
        <f aca="false">J35/H35</f>
        <v>0.0915789203128882</v>
      </c>
      <c r="F35" s="5" t="n">
        <f aca="false">IF(K35="","",K35/H35)</f>
        <v>0.00304149281607964</v>
      </c>
      <c r="G35" s="5" t="n">
        <f aca="false">L35/H35</f>
        <v>0.0144792193216186</v>
      </c>
      <c r="H35" s="6" t="n">
        <v>116719</v>
      </c>
      <c r="I35" s="6" t="n">
        <v>8589</v>
      </c>
      <c r="J35" s="6" t="n">
        <v>10689</v>
      </c>
      <c r="K35" s="6" t="n">
        <v>355</v>
      </c>
      <c r="L35" s="6" t="n">
        <v>1690</v>
      </c>
    </row>
    <row r="36" customFormat="false" ht="15" hidden="false" customHeight="true" outlineLevel="0" collapsed="false">
      <c r="A36" s="3" t="n">
        <v>2020</v>
      </c>
      <c r="B36" s="4" t="s">
        <v>80</v>
      </c>
      <c r="C36" s="4" t="s">
        <v>81</v>
      </c>
      <c r="D36" s="5" t="n">
        <f aca="false">I36/H36</f>
        <v>0.0622885572139304</v>
      </c>
      <c r="E36" s="5" t="n">
        <f aca="false">J36/H36</f>
        <v>0.0918407960199005</v>
      </c>
      <c r="F36" s="5" t="n">
        <f aca="false">IF(K36="","",K36/H36)</f>
        <v>0.00208955223880597</v>
      </c>
      <c r="G36" s="5" t="n">
        <f aca="false">L36/H36</f>
        <v>0.0247761194029851</v>
      </c>
      <c r="H36" s="6" t="n">
        <v>10050</v>
      </c>
      <c r="I36" s="6" t="n">
        <v>626</v>
      </c>
      <c r="J36" s="6" t="n">
        <v>923</v>
      </c>
      <c r="K36" s="6" t="n">
        <v>21</v>
      </c>
      <c r="L36" s="6" t="n">
        <v>249</v>
      </c>
    </row>
    <row r="37" customFormat="false" ht="15" hidden="false" customHeight="true" outlineLevel="0" collapsed="false">
      <c r="A37" s="3" t="n">
        <v>2020</v>
      </c>
      <c r="B37" s="4" t="s">
        <v>82</v>
      </c>
      <c r="C37" s="4" t="s">
        <v>83</v>
      </c>
      <c r="D37" s="5" t="n">
        <f aca="false">I37/H37</f>
        <v>0.0893121201563891</v>
      </c>
      <c r="E37" s="5" t="n">
        <f aca="false">J37/H37</f>
        <v>0.111353694886386</v>
      </c>
      <c r="F37" s="5" t="n">
        <f aca="false">IF(K37="","",K37/H37)</f>
        <v>0.00208260751751636</v>
      </c>
      <c r="G37" s="5" t="n">
        <f aca="false">L37/H37</f>
        <v>0.0191692796036078</v>
      </c>
      <c r="H37" s="6" t="n">
        <v>129165</v>
      </c>
      <c r="I37" s="6" t="n">
        <v>11536</v>
      </c>
      <c r="J37" s="6" t="n">
        <v>14383</v>
      </c>
      <c r="K37" s="6" t="n">
        <v>269</v>
      </c>
      <c r="L37" s="6" t="n">
        <v>2476</v>
      </c>
    </row>
    <row r="38" customFormat="false" ht="15" hidden="false" customHeight="true" outlineLevel="0" collapsed="false">
      <c r="A38" s="3" t="n">
        <v>2020</v>
      </c>
      <c r="B38" s="4" t="s">
        <v>84</v>
      </c>
      <c r="C38" s="4" t="s">
        <v>85</v>
      </c>
      <c r="D38" s="5" t="n">
        <f aca="false">I38/H38</f>
        <v>0.064029064029064</v>
      </c>
      <c r="E38" s="5" t="n">
        <f aca="false">J38/H38</f>
        <v>0.0804720804720805</v>
      </c>
      <c r="F38" s="5" t="n">
        <f aca="false">IF(K38="","",K38/H38)</f>
        <v>0.0072030072030072</v>
      </c>
      <c r="G38" s="5" t="n">
        <f aca="false">L38/H38</f>
        <v>0.0157290157290157</v>
      </c>
      <c r="H38" s="6" t="n">
        <v>47619</v>
      </c>
      <c r="I38" s="6" t="n">
        <v>3049</v>
      </c>
      <c r="J38" s="6" t="n">
        <v>3832</v>
      </c>
      <c r="K38" s="6" t="n">
        <v>343</v>
      </c>
      <c r="L38" s="6" t="n">
        <v>749</v>
      </c>
    </row>
    <row r="39" customFormat="false" ht="15" hidden="false" customHeight="true" outlineLevel="0" collapsed="false">
      <c r="A39" s="3" t="n">
        <v>2020</v>
      </c>
      <c r="B39" s="4" t="s">
        <v>86</v>
      </c>
      <c r="C39" s="4" t="s">
        <v>87</v>
      </c>
      <c r="D39" s="5" t="n">
        <f aca="false">I39/H39</f>
        <v>0.100846669849006</v>
      </c>
      <c r="E39" s="5" t="n">
        <f aca="false">J39/H39</f>
        <v>0.101675753083938</v>
      </c>
      <c r="F39" s="5" t="n">
        <f aca="false">IF(K39="","",K39/H39)</f>
        <v>0.00361781775243072</v>
      </c>
      <c r="G39" s="5" t="n">
        <f aca="false">L39/H39</f>
        <v>0.0182900786372886</v>
      </c>
      <c r="H39" s="6" t="n">
        <v>39803</v>
      </c>
      <c r="I39" s="6" t="n">
        <v>4014</v>
      </c>
      <c r="J39" s="6" t="n">
        <v>4047</v>
      </c>
      <c r="K39" s="6" t="n">
        <v>144</v>
      </c>
      <c r="L39" s="6" t="n">
        <v>728</v>
      </c>
    </row>
    <row r="40" customFormat="false" ht="15" hidden="false" customHeight="true" outlineLevel="0" collapsed="false">
      <c r="A40" s="3" t="n">
        <v>2020</v>
      </c>
      <c r="B40" s="4" t="s">
        <v>88</v>
      </c>
      <c r="C40" s="4" t="s">
        <v>89</v>
      </c>
      <c r="D40" s="5" t="n">
        <f aca="false">I40/H40</f>
        <v>0.0761525806328194</v>
      </c>
      <c r="E40" s="5" t="n">
        <f aca="false">J40/H40</f>
        <v>0.0807208172322761</v>
      </c>
      <c r="F40" s="5" t="n">
        <f aca="false">IF(K40="","",K40/H40)</f>
        <v>0.00791215518230861</v>
      </c>
      <c r="G40" s="5" t="n">
        <f aca="false">L40/H40</f>
        <v>0.0171634081952787</v>
      </c>
      <c r="H40" s="6" t="n">
        <v>130685</v>
      </c>
      <c r="I40" s="6" t="n">
        <v>9952</v>
      </c>
      <c r="J40" s="6" t="n">
        <v>10549</v>
      </c>
      <c r="K40" s="6" t="n">
        <v>1034</v>
      </c>
      <c r="L40" s="6" t="n">
        <v>2243</v>
      </c>
    </row>
    <row r="41" customFormat="false" ht="15" hidden="false" customHeight="true" outlineLevel="0" collapsed="false">
      <c r="A41" s="3" t="n">
        <v>2020</v>
      </c>
      <c r="B41" s="4" t="s">
        <v>90</v>
      </c>
      <c r="C41" s="4" t="s">
        <v>91</v>
      </c>
      <c r="D41" s="5" t="n">
        <f aca="false">I41/H41</f>
        <v>0.0846062289228328</v>
      </c>
      <c r="E41" s="5" t="n">
        <f aca="false">J41/H41</f>
        <v>0.0910533624280897</v>
      </c>
      <c r="F41" s="5" t="n">
        <f aca="false">IF(K41="","",K41/H41)</f>
        <v>0</v>
      </c>
      <c r="G41" s="5" t="n">
        <f aca="false">L41/H41</f>
        <v>0.0184487204919659</v>
      </c>
      <c r="H41" s="6" t="n">
        <v>10082</v>
      </c>
      <c r="I41" s="6" t="n">
        <v>853</v>
      </c>
      <c r="J41" s="6" t="n">
        <v>918</v>
      </c>
      <c r="K41" s="6" t="n">
        <v>0</v>
      </c>
      <c r="L41" s="6" t="n">
        <v>186</v>
      </c>
    </row>
    <row r="42" customFormat="false" ht="15" hidden="false" customHeight="true" outlineLevel="0" collapsed="false">
      <c r="A42" s="3" t="n">
        <v>2020</v>
      </c>
      <c r="B42" s="4" t="s">
        <v>92</v>
      </c>
      <c r="C42" s="4" t="s">
        <v>93</v>
      </c>
      <c r="D42" s="5" t="n">
        <f aca="false">I42/H42</f>
        <v>0.0753456634943437</v>
      </c>
      <c r="E42" s="5" t="n">
        <f aca="false">J42/H42</f>
        <v>0.0913988148680194</v>
      </c>
      <c r="F42" s="5" t="str">
        <f aca="false">IF(K42="","",K42/H42)</f>
        <v/>
      </c>
      <c r="G42" s="5" t="n">
        <f aca="false">L42/H42</f>
        <v>0.0113664930867301</v>
      </c>
      <c r="H42" s="6" t="n">
        <v>55690</v>
      </c>
      <c r="I42" s="6" t="n">
        <v>4196</v>
      </c>
      <c r="J42" s="6" t="n">
        <v>5090</v>
      </c>
      <c r="K42" s="6"/>
      <c r="L42" s="6" t="n">
        <v>633</v>
      </c>
    </row>
    <row r="43" customFormat="false" ht="15" hidden="false" customHeight="true" outlineLevel="0" collapsed="false">
      <c r="A43" s="3" t="n">
        <v>2020</v>
      </c>
      <c r="B43" s="4" t="s">
        <v>94</v>
      </c>
      <c r="C43" s="4" t="s">
        <v>95</v>
      </c>
      <c r="D43" s="5" t="n">
        <f aca="false">I43/H43</f>
        <v>0.0939100219458669</v>
      </c>
      <c r="E43" s="5" t="n">
        <f aca="false">J43/H43</f>
        <v>0.0734272128749086</v>
      </c>
      <c r="F43" s="5" t="n">
        <f aca="false">IF(K43="","",K43/H43)</f>
        <v>0.00685808339429408</v>
      </c>
      <c r="G43" s="5" t="n">
        <f aca="false">L43/H43</f>
        <v>0.0119787856620337</v>
      </c>
      <c r="H43" s="6" t="n">
        <v>10936</v>
      </c>
      <c r="I43" s="6" t="n">
        <v>1027</v>
      </c>
      <c r="J43" s="6" t="n">
        <v>803</v>
      </c>
      <c r="K43" s="6" t="n">
        <v>75</v>
      </c>
      <c r="L43" s="6" t="n">
        <v>131</v>
      </c>
    </row>
    <row r="44" customFormat="false" ht="15" hidden="false" customHeight="true" outlineLevel="0" collapsed="false">
      <c r="A44" s="3" t="n">
        <v>2020</v>
      </c>
      <c r="B44" s="4" t="s">
        <v>96</v>
      </c>
      <c r="C44" s="4" t="s">
        <v>97</v>
      </c>
      <c r="D44" s="5" t="n">
        <f aca="false">I44/H44</f>
        <v>0.0758788988027149</v>
      </c>
      <c r="E44" s="5" t="n">
        <f aca="false">J44/H44</f>
        <v>0.0823864358524619</v>
      </c>
      <c r="F44" s="5" t="n">
        <f aca="false">IF(K44="","",K44/H44)</f>
        <v>0.00495691298711203</v>
      </c>
      <c r="G44" s="5" t="n">
        <f aca="false">L44/H44</f>
        <v>0.0214545362108849</v>
      </c>
      <c r="H44" s="6" t="n">
        <v>78678</v>
      </c>
      <c r="I44" s="6" t="n">
        <v>5970</v>
      </c>
      <c r="J44" s="6" t="n">
        <v>6482</v>
      </c>
      <c r="K44" s="6" t="n">
        <v>390</v>
      </c>
      <c r="L44" s="6" t="n">
        <v>1688</v>
      </c>
    </row>
    <row r="45" customFormat="false" ht="15" hidden="false" customHeight="true" outlineLevel="0" collapsed="false">
      <c r="A45" s="3" t="n">
        <v>2020</v>
      </c>
      <c r="B45" s="4" t="s">
        <v>98</v>
      </c>
      <c r="C45" s="4" t="s">
        <v>99</v>
      </c>
      <c r="D45" s="5" t="n">
        <f aca="false">I45/H45</f>
        <v>0.0641206363174634</v>
      </c>
      <c r="E45" s="5" t="n">
        <f aca="false">J45/H45</f>
        <v>0.0763591820327502</v>
      </c>
      <c r="F45" s="5" t="n">
        <f aca="false">IF(K45="","",K45/H45)</f>
        <v>0.000803952403844848</v>
      </c>
      <c r="G45" s="5" t="n">
        <f aca="false">L45/H45</f>
        <v>0.00754520195230064</v>
      </c>
      <c r="H45" s="6" t="n">
        <v>368181</v>
      </c>
      <c r="I45" s="6" t="n">
        <v>23608</v>
      </c>
      <c r="J45" s="6" t="n">
        <v>28114</v>
      </c>
      <c r="K45" s="6" t="n">
        <v>296</v>
      </c>
      <c r="L45" s="6" t="n">
        <v>2778</v>
      </c>
    </row>
    <row r="46" customFormat="false" ht="15" hidden="false" customHeight="true" outlineLevel="0" collapsed="false">
      <c r="A46" s="3" t="n">
        <v>2020</v>
      </c>
      <c r="B46" s="4" t="s">
        <v>100</v>
      </c>
      <c r="C46" s="4" t="s">
        <v>101</v>
      </c>
      <c r="D46" s="5" t="n">
        <f aca="false">I46/H46</f>
        <v>0.0680251263980389</v>
      </c>
      <c r="E46" s="5" t="n">
        <f aca="false">J46/H46</f>
        <v>0.0764516623257239</v>
      </c>
      <c r="F46" s="5" t="n">
        <f aca="false">IF(K46="","",K46/H46)</f>
        <v>0.000306419488279455</v>
      </c>
      <c r="G46" s="5" t="n">
        <f aca="false">L46/H46</f>
        <v>0.0193700890805227</v>
      </c>
      <c r="H46" s="6" t="n">
        <v>45689</v>
      </c>
      <c r="I46" s="6" t="n">
        <v>3108</v>
      </c>
      <c r="J46" s="6" t="n">
        <v>3493</v>
      </c>
      <c r="K46" s="6" t="n">
        <v>14</v>
      </c>
      <c r="L46" s="6" t="n">
        <v>885</v>
      </c>
    </row>
    <row r="47" customFormat="false" ht="15" hidden="false" customHeight="true" outlineLevel="0" collapsed="false">
      <c r="A47" s="3" t="n">
        <v>2020</v>
      </c>
      <c r="B47" s="4" t="s">
        <v>102</v>
      </c>
      <c r="C47" s="4" t="s">
        <v>103</v>
      </c>
      <c r="D47" s="5" t="n">
        <f aca="false">I47/H47</f>
        <v>0.0717225161669606</v>
      </c>
      <c r="E47" s="5" t="n">
        <f aca="false">J47/H47</f>
        <v>0.100333137370174</v>
      </c>
      <c r="F47" s="5" t="n">
        <f aca="false">IF(K47="","",K47/H47)</f>
        <v>0</v>
      </c>
      <c r="G47" s="5" t="n">
        <f aca="false">L47/H47</f>
        <v>0.0172447579854987</v>
      </c>
      <c r="H47" s="6" t="n">
        <v>5103</v>
      </c>
      <c r="I47" s="6" t="n">
        <v>366</v>
      </c>
      <c r="J47" s="6" t="n">
        <v>512</v>
      </c>
      <c r="K47" s="6" t="n">
        <v>0</v>
      </c>
      <c r="L47" s="6" t="n">
        <v>88</v>
      </c>
    </row>
    <row r="48" customFormat="false" ht="15" hidden="false" customHeight="true" outlineLevel="0" collapsed="false">
      <c r="A48" s="3" t="n">
        <v>2020</v>
      </c>
      <c r="B48" s="4" t="s">
        <v>104</v>
      </c>
      <c r="C48" s="4" t="s">
        <v>105</v>
      </c>
      <c r="D48" s="5" t="n">
        <f aca="false">I48/H48</f>
        <v>0.0712370415725355</v>
      </c>
      <c r="E48" s="5" t="n">
        <f aca="false">J48/H48</f>
        <v>0.0823216434769757</v>
      </c>
      <c r="F48" s="5" t="n">
        <f aca="false">IF(K48="","",K48/H48)</f>
        <v>0.000844541097481156</v>
      </c>
      <c r="G48" s="5" t="n">
        <f aca="false">L48/H48</f>
        <v>0.00651352321432342</v>
      </c>
      <c r="H48" s="6" t="n">
        <v>94726</v>
      </c>
      <c r="I48" s="6" t="n">
        <v>6748</v>
      </c>
      <c r="J48" s="6" t="n">
        <v>7798</v>
      </c>
      <c r="K48" s="6" t="n">
        <v>80</v>
      </c>
      <c r="L48" s="6" t="n">
        <v>617</v>
      </c>
    </row>
    <row r="49" customFormat="false" ht="15" hidden="false" customHeight="true" outlineLevel="0" collapsed="false">
      <c r="A49" s="3" t="n">
        <v>2020</v>
      </c>
      <c r="B49" s="4" t="s">
        <v>106</v>
      </c>
      <c r="C49" s="4" t="s">
        <v>107</v>
      </c>
      <c r="D49" s="5" t="n">
        <f aca="false">I49/H49</f>
        <v>0.108492042472251</v>
      </c>
      <c r="E49" s="5" t="n">
        <f aca="false">J49/H49</f>
        <v>0.0942262778995016</v>
      </c>
      <c r="F49" s="5" t="n">
        <f aca="false">IF(K49="","",K49/H49)</f>
        <v>0.00093901235162401</v>
      </c>
      <c r="G49" s="5" t="n">
        <f aca="false">L49/H49</f>
        <v>0.0147111935087762</v>
      </c>
      <c r="H49" s="6" t="n">
        <v>83066</v>
      </c>
      <c r="I49" s="6" t="n">
        <v>9012</v>
      </c>
      <c r="J49" s="6" t="n">
        <v>7827</v>
      </c>
      <c r="K49" s="6" t="n">
        <v>78</v>
      </c>
      <c r="L49" s="6" t="n">
        <v>1222</v>
      </c>
    </row>
    <row r="50" customFormat="false" ht="15" hidden="false" customHeight="true" outlineLevel="0" collapsed="false">
      <c r="A50" s="3" t="n">
        <v>2020</v>
      </c>
      <c r="B50" s="4" t="s">
        <v>108</v>
      </c>
      <c r="C50" s="4" t="s">
        <v>109</v>
      </c>
      <c r="D50" s="5" t="n">
        <f aca="false">I50/H50</f>
        <v>0.0659334298118669</v>
      </c>
      <c r="E50" s="5" t="n">
        <f aca="false">J50/H50</f>
        <v>0.0966136034732272</v>
      </c>
      <c r="F50" s="5" t="n">
        <f aca="false">IF(K50="","",K50/H50)</f>
        <v>0</v>
      </c>
      <c r="G50" s="5" t="n">
        <f aca="false">L50/H50</f>
        <v>0.0127351664254703</v>
      </c>
      <c r="H50" s="6" t="n">
        <v>17275</v>
      </c>
      <c r="I50" s="6" t="n">
        <v>1139</v>
      </c>
      <c r="J50" s="6" t="n">
        <v>1669</v>
      </c>
      <c r="K50" s="6" t="n">
        <v>0</v>
      </c>
      <c r="L50" s="6" t="n">
        <v>220</v>
      </c>
    </row>
    <row r="51" customFormat="false" ht="15" hidden="false" customHeight="true" outlineLevel="0" collapsed="false">
      <c r="A51" s="3" t="n">
        <v>2020</v>
      </c>
      <c r="B51" s="4" t="s">
        <v>110</v>
      </c>
      <c r="C51" s="4" t="s">
        <v>111</v>
      </c>
      <c r="D51" s="5" t="n">
        <f aca="false">I51/H51</f>
        <v>0.0832095096582467</v>
      </c>
      <c r="E51" s="5" t="n">
        <f aca="false">J51/H51</f>
        <v>0.0844807660558032</v>
      </c>
      <c r="F51" s="5" t="n">
        <f aca="false">IF(K51="","",K51/H51)</f>
        <v>0.00234439491497441</v>
      </c>
      <c r="G51" s="5" t="n">
        <f aca="false">L51/H51</f>
        <v>0.0208684167079412</v>
      </c>
      <c r="H51" s="6" t="n">
        <v>60570</v>
      </c>
      <c r="I51" s="6" t="n">
        <v>5040</v>
      </c>
      <c r="J51" s="6" t="n">
        <v>5117</v>
      </c>
      <c r="K51" s="6" t="n">
        <v>142</v>
      </c>
      <c r="L51" s="6" t="n">
        <v>1264</v>
      </c>
    </row>
    <row r="52" customFormat="false" ht="15" hidden="false" customHeight="true" outlineLevel="0" collapsed="false">
      <c r="A52" s="3" t="n">
        <v>2020</v>
      </c>
      <c r="B52" s="4" t="s">
        <v>112</v>
      </c>
      <c r="C52" s="4" t="s">
        <v>113</v>
      </c>
      <c r="D52" s="5" t="n">
        <f aca="false">I52/H52</f>
        <v>0.0544829842931937</v>
      </c>
      <c r="E52" s="5" t="n">
        <f aca="false">J52/H52</f>
        <v>0.0996400523560209</v>
      </c>
      <c r="F52" s="5" t="n">
        <f aca="false">IF(K52="","",K52/H52)</f>
        <v>0.0068717277486911</v>
      </c>
      <c r="G52" s="5" t="n">
        <f aca="false">L52/H52</f>
        <v>0.0130890052356021</v>
      </c>
      <c r="H52" s="6" t="n">
        <v>6112</v>
      </c>
      <c r="I52" s="6" t="n">
        <v>333</v>
      </c>
      <c r="J52" s="6" t="n">
        <v>609</v>
      </c>
      <c r="K52" s="6" t="n">
        <v>42</v>
      </c>
      <c r="L52" s="6" t="n">
        <v>80</v>
      </c>
    </row>
    <row r="53" customFormat="false" ht="15" hidden="false" customHeight="true" outlineLevel="0" collapsed="false">
      <c r="A53" s="3" t="n">
        <v>2021</v>
      </c>
      <c r="B53" s="4" t="s">
        <v>12</v>
      </c>
      <c r="C53" s="4" t="s">
        <v>13</v>
      </c>
      <c r="D53" s="5" t="n">
        <f aca="false">I53/H53</f>
        <v>0.065978564289899</v>
      </c>
      <c r="E53" s="5" t="n">
        <f aca="false">J53/H53</f>
        <v>0.122945170072716</v>
      </c>
      <c r="F53" s="5" t="n">
        <f aca="false">IF(K53="","",K53/H53)</f>
        <v>0.00080987007616225</v>
      </c>
      <c r="G53" s="5" t="n">
        <f aca="false">L53/H53</f>
        <v>0.0120274321949202</v>
      </c>
      <c r="H53" s="6" t="n">
        <v>58034</v>
      </c>
      <c r="I53" s="6" t="n">
        <v>3829</v>
      </c>
      <c r="J53" s="6" t="n">
        <v>7135</v>
      </c>
      <c r="K53" s="6" t="n">
        <v>47</v>
      </c>
      <c r="L53" s="6" t="n">
        <v>698</v>
      </c>
    </row>
    <row r="54" customFormat="false" ht="15" hidden="false" customHeight="true" outlineLevel="0" collapsed="false">
      <c r="A54" s="3" t="n">
        <v>2021</v>
      </c>
      <c r="B54" s="4" t="s">
        <v>14</v>
      </c>
      <c r="C54" s="4" t="s">
        <v>15</v>
      </c>
      <c r="D54" s="5" t="n">
        <f aca="false">I54/H54</f>
        <v>0.13122123514931</v>
      </c>
      <c r="E54" s="5" t="n">
        <f aca="false">J54/H54</f>
        <v>0.128331371079953</v>
      </c>
      <c r="F54" s="5" t="n">
        <f aca="false">IF(K54="","",K54/H54)</f>
        <v>0.00331799207963181</v>
      </c>
      <c r="G54" s="5" t="n">
        <f aca="false">L54/H54</f>
        <v>0.0255806486139356</v>
      </c>
      <c r="H54" s="6" t="n">
        <v>9343</v>
      </c>
      <c r="I54" s="6" t="n">
        <v>1226</v>
      </c>
      <c r="J54" s="6" t="n">
        <v>1199</v>
      </c>
      <c r="K54" s="6" t="n">
        <v>31</v>
      </c>
      <c r="L54" s="6" t="n">
        <v>239</v>
      </c>
    </row>
    <row r="55" customFormat="false" ht="15" hidden="false" customHeight="true" outlineLevel="0" collapsed="false">
      <c r="A55" s="3" t="n">
        <v>2021</v>
      </c>
      <c r="B55" s="4" t="s">
        <v>16</v>
      </c>
      <c r="C55" s="4" t="s">
        <v>17</v>
      </c>
      <c r="D55" s="5" t="n">
        <f aca="false">I55/H55</f>
        <v>0.0989576647582861</v>
      </c>
      <c r="E55" s="5" t="n">
        <f aca="false">J55/H55</f>
        <v>0.0906523580909348</v>
      </c>
      <c r="F55" s="5" t="n">
        <f aca="false">IF(K55="","",K55/H55)</f>
        <v>0.0015917434725681</v>
      </c>
      <c r="G55" s="5" t="n">
        <f aca="false">L55/H55</f>
        <v>0.0131447202895946</v>
      </c>
      <c r="H55" s="6" t="n">
        <v>77902</v>
      </c>
      <c r="I55" s="6" t="n">
        <v>7709</v>
      </c>
      <c r="J55" s="6" t="n">
        <v>7062</v>
      </c>
      <c r="K55" s="6" t="n">
        <v>124</v>
      </c>
      <c r="L55" s="6" t="n">
        <v>1024</v>
      </c>
    </row>
    <row r="56" customFormat="false" ht="15" hidden="false" customHeight="true" outlineLevel="0" collapsed="false">
      <c r="A56" s="3" t="n">
        <v>2021</v>
      </c>
      <c r="B56" s="4" t="s">
        <v>18</v>
      </c>
      <c r="C56" s="4" t="s">
        <v>19</v>
      </c>
      <c r="D56" s="5" t="n">
        <f aca="false">I56/H56</f>
        <v>0.0678574409481679</v>
      </c>
      <c r="E56" s="5" t="n">
        <f aca="false">J56/H56</f>
        <v>0.0904487661018835</v>
      </c>
      <c r="F56" s="5" t="n">
        <f aca="false">IF(K56="","",K56/H56)</f>
        <v>0.00651030798764711</v>
      </c>
      <c r="G56" s="5" t="n">
        <f aca="false">L56/H56</f>
        <v>0.0138830926745124</v>
      </c>
      <c r="H56" s="6" t="n">
        <v>35943</v>
      </c>
      <c r="I56" s="6" t="n">
        <v>2439</v>
      </c>
      <c r="J56" s="6" t="n">
        <v>3251</v>
      </c>
      <c r="K56" s="6" t="n">
        <v>234</v>
      </c>
      <c r="L56" s="6" t="n">
        <v>499</v>
      </c>
    </row>
    <row r="57" customFormat="false" ht="15" hidden="false" customHeight="true" outlineLevel="0" collapsed="false">
      <c r="A57" s="3" t="n">
        <v>2021</v>
      </c>
      <c r="B57" s="4" t="s">
        <v>20</v>
      </c>
      <c r="C57" s="4" t="s">
        <v>21</v>
      </c>
      <c r="D57" s="5" t="n">
        <f aca="false">I57/H57</f>
        <v>0.0860177984255788</v>
      </c>
      <c r="E57" s="5" t="n">
        <f aca="false">J57/H57</f>
        <v>0.0728128217137939</v>
      </c>
      <c r="F57" s="5" t="n">
        <f aca="false">IF(K57="","",K57/H57)</f>
        <v>0.000822636287770537</v>
      </c>
      <c r="G57" s="5" t="n">
        <f aca="false">L57/H57</f>
        <v>0.0118355012731842</v>
      </c>
      <c r="H57" s="6" t="n">
        <v>420599</v>
      </c>
      <c r="I57" s="6" t="n">
        <v>36179</v>
      </c>
      <c r="J57" s="6" t="n">
        <v>30625</v>
      </c>
      <c r="K57" s="6" t="n">
        <v>346</v>
      </c>
      <c r="L57" s="6" t="n">
        <v>4978</v>
      </c>
    </row>
    <row r="58" customFormat="false" ht="15" hidden="false" customHeight="true" outlineLevel="0" collapsed="false">
      <c r="A58" s="3" t="n">
        <v>2021</v>
      </c>
      <c r="B58" s="4" t="s">
        <v>22</v>
      </c>
      <c r="C58" s="4" t="s">
        <v>23</v>
      </c>
      <c r="D58" s="5" t="n">
        <f aca="false">I58/H58</f>
        <v>0.0640583533300491</v>
      </c>
      <c r="E58" s="5" t="n">
        <f aca="false">J58/H58</f>
        <v>0.105280722106568</v>
      </c>
      <c r="F58" s="5" t="n">
        <f aca="false">IF(K58="","",K58/H58)</f>
        <v>0.0120933780412224</v>
      </c>
      <c r="G58" s="5" t="n">
        <f aca="false">L58/H58</f>
        <v>0.0138414353139352</v>
      </c>
      <c r="H58" s="6" t="n">
        <v>62927</v>
      </c>
      <c r="I58" s="6" t="n">
        <v>4031</v>
      </c>
      <c r="J58" s="6" t="n">
        <v>6625</v>
      </c>
      <c r="K58" s="6" t="n">
        <v>761</v>
      </c>
      <c r="L58" s="6" t="n">
        <v>871</v>
      </c>
    </row>
    <row r="59" customFormat="false" ht="15" hidden="false" customHeight="true" outlineLevel="0" collapsed="false">
      <c r="A59" s="3" t="n">
        <v>2021</v>
      </c>
      <c r="B59" s="4" t="s">
        <v>24</v>
      </c>
      <c r="C59" s="4" t="s">
        <v>25</v>
      </c>
      <c r="D59" s="5" t="n">
        <f aca="false">I59/H59</f>
        <v>0.0798507881303641</v>
      </c>
      <c r="E59" s="5" t="n">
        <f aca="false">J59/H59</f>
        <v>0.0843944578448421</v>
      </c>
      <c r="F59" s="5" t="n">
        <f aca="false">IF(K59="","",K59/H59)</f>
        <v>0.00353396533348292</v>
      </c>
      <c r="G59" s="5" t="n">
        <f aca="false">L59/H59</f>
        <v>0.0148089975879284</v>
      </c>
      <c r="H59" s="6" t="n">
        <v>35654</v>
      </c>
      <c r="I59" s="6" t="n">
        <v>2847</v>
      </c>
      <c r="J59" s="6" t="n">
        <v>3009</v>
      </c>
      <c r="K59" s="6" t="n">
        <v>126</v>
      </c>
      <c r="L59" s="6" t="n">
        <v>528</v>
      </c>
    </row>
    <row r="60" customFormat="false" ht="15" hidden="false" customHeight="true" outlineLevel="0" collapsed="false">
      <c r="A60" s="3" t="n">
        <v>2021</v>
      </c>
      <c r="B60" s="4" t="s">
        <v>26</v>
      </c>
      <c r="C60" s="4" t="s">
        <v>27</v>
      </c>
      <c r="D60" s="5" t="n">
        <f aca="false">I60/H60</f>
        <v>0.0829510703363914</v>
      </c>
      <c r="E60" s="5" t="n">
        <f aca="false">J60/H60</f>
        <v>0.10684250764526</v>
      </c>
      <c r="F60" s="5" t="n">
        <f aca="false">IF(K60="","",K60/H60)</f>
        <v>0.00124235474006116</v>
      </c>
      <c r="G60" s="5" t="n">
        <f aca="false">L60/H60</f>
        <v>0.0145259938837921</v>
      </c>
      <c r="H60" s="6" t="n">
        <v>10464</v>
      </c>
      <c r="I60" s="6" t="n">
        <v>868</v>
      </c>
      <c r="J60" s="6" t="n">
        <v>1118</v>
      </c>
      <c r="K60" s="6" t="n">
        <v>13</v>
      </c>
      <c r="L60" s="6" t="n">
        <v>152</v>
      </c>
    </row>
    <row r="61" customFormat="false" ht="15" hidden="false" customHeight="true" outlineLevel="0" collapsed="false">
      <c r="A61" s="3" t="n">
        <v>2021</v>
      </c>
      <c r="B61" s="4" t="s">
        <v>28</v>
      </c>
      <c r="C61" s="4" t="s">
        <v>29</v>
      </c>
      <c r="D61" s="5" t="n">
        <f aca="false">I61/H61</f>
        <v>0.0614156835530881</v>
      </c>
      <c r="E61" s="5" t="n">
        <f aca="false">J61/H61</f>
        <v>0.0962294702752718</v>
      </c>
      <c r="F61" s="5" t="n">
        <f aca="false">IF(K61="","",K61/H61)</f>
        <v>0.0039324543141337</v>
      </c>
      <c r="G61" s="5" t="n">
        <f aca="false">L61/H61</f>
        <v>0.0146888734674994</v>
      </c>
      <c r="H61" s="6" t="n">
        <v>8646</v>
      </c>
      <c r="I61" s="6" t="n">
        <v>531</v>
      </c>
      <c r="J61" s="6" t="n">
        <v>832</v>
      </c>
      <c r="K61" s="6" t="n">
        <v>34</v>
      </c>
      <c r="L61" s="6" t="n">
        <v>127</v>
      </c>
    </row>
    <row r="62" customFormat="false" ht="15" hidden="false" customHeight="true" outlineLevel="0" collapsed="false">
      <c r="A62" s="3" t="n">
        <v>2021</v>
      </c>
      <c r="B62" s="4" t="s">
        <v>30</v>
      </c>
      <c r="C62" s="4" t="s">
        <v>31</v>
      </c>
      <c r="D62" s="5" t="n">
        <f aca="false">I62/H62</f>
        <v>0.0722556717812121</v>
      </c>
      <c r="E62" s="5" t="n">
        <f aca="false">J62/H62</f>
        <v>0.0857680604496731</v>
      </c>
      <c r="F62" s="5" t="n">
        <f aca="false">IF(K62="","",K62/H62)</f>
        <v>0.00135956272023529</v>
      </c>
      <c r="G62" s="5" t="n">
        <f aca="false">L62/H62</f>
        <v>0.00817587377338772</v>
      </c>
      <c r="H62" s="6" t="n">
        <v>216246</v>
      </c>
      <c r="I62" s="6" t="n">
        <v>15625</v>
      </c>
      <c r="J62" s="6" t="n">
        <v>18547</v>
      </c>
      <c r="K62" s="6" t="n">
        <v>294</v>
      </c>
      <c r="L62" s="6" t="n">
        <v>1768</v>
      </c>
    </row>
    <row r="63" customFormat="false" ht="15" hidden="false" customHeight="true" outlineLevel="0" collapsed="false">
      <c r="A63" s="3" t="n">
        <v>2021</v>
      </c>
      <c r="B63" s="4" t="s">
        <v>32</v>
      </c>
      <c r="C63" s="4" t="s">
        <v>33</v>
      </c>
      <c r="D63" s="5" t="n">
        <f aca="false">I63/H63</f>
        <v>0.0706500709402812</v>
      </c>
      <c r="E63" s="5" t="n">
        <f aca="false">J63/H63</f>
        <v>0.0919644008770798</v>
      </c>
      <c r="F63" s="5" t="n">
        <f aca="false">IF(K63="","",K63/H63)</f>
        <v>0.00187024377660261</v>
      </c>
      <c r="G63" s="5" t="n">
        <f aca="false">L63/H63</f>
        <v>0.0111489100993164</v>
      </c>
      <c r="H63" s="6" t="n">
        <v>124048</v>
      </c>
      <c r="I63" s="6" t="n">
        <v>8764</v>
      </c>
      <c r="J63" s="6" t="n">
        <v>11408</v>
      </c>
      <c r="K63" s="6" t="n">
        <v>232</v>
      </c>
      <c r="L63" s="6" t="n">
        <v>1383</v>
      </c>
    </row>
    <row r="64" customFormat="false" ht="15" hidden="false" customHeight="true" outlineLevel="0" collapsed="false">
      <c r="A64" s="3" t="n">
        <v>2021</v>
      </c>
      <c r="B64" s="4" t="s">
        <v>34</v>
      </c>
      <c r="C64" s="4" t="s">
        <v>35</v>
      </c>
      <c r="D64" s="5" t="n">
        <f aca="false">I64/H64</f>
        <v>0.0810481804202973</v>
      </c>
      <c r="E64" s="5" t="n">
        <f aca="false">J64/H64</f>
        <v>0.0632368016401845</v>
      </c>
      <c r="F64" s="5" t="n">
        <f aca="false">IF(K64="","",K64/H64)</f>
        <v>0.0647104049205536</v>
      </c>
      <c r="G64" s="5" t="n">
        <f aca="false">L64/H64</f>
        <v>0.00762429523321374</v>
      </c>
      <c r="H64" s="6" t="n">
        <v>15608</v>
      </c>
      <c r="I64" s="6" t="n">
        <v>1265</v>
      </c>
      <c r="J64" s="6" t="n">
        <v>987</v>
      </c>
      <c r="K64" s="6" t="n">
        <v>1010</v>
      </c>
      <c r="L64" s="6" t="n">
        <v>119</v>
      </c>
    </row>
    <row r="65" customFormat="false" ht="15" hidden="false" customHeight="true" outlineLevel="0" collapsed="false">
      <c r="A65" s="3" t="n">
        <v>2021</v>
      </c>
      <c r="B65" s="4" t="s">
        <v>36</v>
      </c>
      <c r="C65" s="4" t="s">
        <v>37</v>
      </c>
      <c r="D65" s="5" t="n">
        <f aca="false">I65/H65</f>
        <v>0.0658035714285714</v>
      </c>
      <c r="E65" s="5" t="n">
        <f aca="false">J65/H65</f>
        <v>0.0913392857142857</v>
      </c>
      <c r="F65" s="5" t="n">
        <f aca="false">IF(K65="","",K65/H65)</f>
        <v>0</v>
      </c>
      <c r="G65" s="5" t="n">
        <f aca="false">L65/H65</f>
        <v>0.0158928571428571</v>
      </c>
      <c r="H65" s="6" t="n">
        <v>22400</v>
      </c>
      <c r="I65" s="6" t="n">
        <v>1474</v>
      </c>
      <c r="J65" s="6" t="n">
        <v>2046</v>
      </c>
      <c r="K65" s="6" t="n">
        <v>0</v>
      </c>
      <c r="L65" s="6" t="n">
        <v>356</v>
      </c>
    </row>
    <row r="66" customFormat="false" ht="15" hidden="false" customHeight="true" outlineLevel="0" collapsed="false">
      <c r="A66" s="3" t="n">
        <v>2021</v>
      </c>
      <c r="B66" s="4" t="s">
        <v>38</v>
      </c>
      <c r="C66" s="4" t="s">
        <v>39</v>
      </c>
      <c r="D66" s="5" t="n">
        <f aca="false">I66/H66</f>
        <v>0.095785411622276</v>
      </c>
      <c r="E66" s="5" t="n">
        <f aca="false">J66/H66</f>
        <v>0.103836259079903</v>
      </c>
      <c r="F66" s="5" t="n">
        <f aca="false">IF(K66="","",K66/H66)</f>
        <v>0.000718825665859564</v>
      </c>
      <c r="G66" s="5" t="n">
        <f aca="false">L66/H66</f>
        <v>0.0177285108958838</v>
      </c>
      <c r="H66" s="6" t="n">
        <v>132160</v>
      </c>
      <c r="I66" s="6" t="n">
        <v>12659</v>
      </c>
      <c r="J66" s="6" t="n">
        <v>13723</v>
      </c>
      <c r="K66" s="6" t="n">
        <v>95</v>
      </c>
      <c r="L66" s="6" t="n">
        <v>2343</v>
      </c>
    </row>
    <row r="67" customFormat="false" ht="15" hidden="false" customHeight="true" outlineLevel="0" collapsed="false">
      <c r="A67" s="3" t="n">
        <v>2021</v>
      </c>
      <c r="B67" s="4" t="s">
        <v>40</v>
      </c>
      <c r="C67" s="4" t="s">
        <v>41</v>
      </c>
      <c r="D67" s="5" t="n">
        <f aca="false">I67/H67</f>
        <v>0.0831998598528455</v>
      </c>
      <c r="E67" s="5" t="n">
        <f aca="false">J67/H67</f>
        <v>0.10275789579058</v>
      </c>
      <c r="F67" s="5" t="n">
        <f aca="false">IF(K67="","",K67/H67)</f>
        <v>0.00146403723910106</v>
      </c>
      <c r="G67" s="5" t="n">
        <f aca="false">L67/H67</f>
        <v>0.0152910556083888</v>
      </c>
      <c r="H67" s="6" t="n">
        <v>79916</v>
      </c>
      <c r="I67" s="6" t="n">
        <v>6649</v>
      </c>
      <c r="J67" s="6" t="n">
        <v>8212</v>
      </c>
      <c r="K67" s="6" t="n">
        <v>117</v>
      </c>
      <c r="L67" s="6" t="n">
        <v>1222</v>
      </c>
    </row>
    <row r="68" customFormat="false" ht="15" hidden="false" customHeight="true" outlineLevel="0" collapsed="false">
      <c r="A68" s="3" t="n">
        <v>2021</v>
      </c>
      <c r="B68" s="4" t="s">
        <v>42</v>
      </c>
      <c r="C68" s="4" t="s">
        <v>43</v>
      </c>
      <c r="D68" s="5" t="n">
        <f aca="false">I68/H68</f>
        <v>0.10290122786048</v>
      </c>
      <c r="E68" s="5" t="n">
        <f aca="false">J68/H68</f>
        <v>0.0979571878735195</v>
      </c>
      <c r="F68" s="5" t="n">
        <f aca="false">IF(K68="","",K68/H68)</f>
        <v>0.00187438878626535</v>
      </c>
      <c r="G68" s="5" t="n">
        <f aca="false">L68/H68</f>
        <v>0.0239052482886015</v>
      </c>
      <c r="H68" s="6" t="n">
        <v>36812</v>
      </c>
      <c r="I68" s="6" t="n">
        <v>3788</v>
      </c>
      <c r="J68" s="6" t="n">
        <v>3606</v>
      </c>
      <c r="K68" s="6" t="n">
        <v>69</v>
      </c>
      <c r="L68" s="6" t="n">
        <v>880</v>
      </c>
    </row>
    <row r="69" customFormat="false" ht="15" hidden="false" customHeight="true" outlineLevel="0" collapsed="false">
      <c r="A69" s="3" t="n">
        <v>2021</v>
      </c>
      <c r="B69" s="4" t="s">
        <v>44</v>
      </c>
      <c r="C69" s="4" t="s">
        <v>45</v>
      </c>
      <c r="D69" s="5" t="n">
        <f aca="false">I69/H69</f>
        <v>0.0888043133523628</v>
      </c>
      <c r="E69" s="5" t="n">
        <f aca="false">J69/H69</f>
        <v>0.0916587377101173</v>
      </c>
      <c r="F69" s="5" t="n">
        <f aca="false">IF(K69="","",K69/H69)</f>
        <v>0.00224894040307932</v>
      </c>
      <c r="G69" s="5" t="n">
        <f aca="false">L69/H69</f>
        <v>0.0118213534008015</v>
      </c>
      <c r="H69" s="6" t="n">
        <v>34683</v>
      </c>
      <c r="I69" s="6" t="n">
        <v>3080</v>
      </c>
      <c r="J69" s="6" t="n">
        <v>3179</v>
      </c>
      <c r="K69" s="6" t="n">
        <v>78</v>
      </c>
      <c r="L69" s="6" t="n">
        <v>410</v>
      </c>
    </row>
    <row r="70" customFormat="false" ht="15" hidden="false" customHeight="true" outlineLevel="0" collapsed="false">
      <c r="A70" s="3" t="n">
        <v>2021</v>
      </c>
      <c r="B70" s="4" t="s">
        <v>46</v>
      </c>
      <c r="C70" s="4" t="s">
        <v>47</v>
      </c>
      <c r="D70" s="5" t="n">
        <f aca="false">I70/H70</f>
        <v>0.0820592405257309</v>
      </c>
      <c r="E70" s="5" t="n">
        <f aca="false">J70/H70</f>
        <v>0.103651760738782</v>
      </c>
      <c r="F70" s="5" t="n">
        <f aca="false">IF(K70="","",K70/H70)</f>
        <v>0.00187761045330881</v>
      </c>
      <c r="G70" s="5" t="n">
        <f aca="false">L70/H70</f>
        <v>0.0143694677549144</v>
      </c>
      <c r="H70" s="6" t="n">
        <v>52194</v>
      </c>
      <c r="I70" s="6" t="n">
        <v>4283</v>
      </c>
      <c r="J70" s="6" t="n">
        <v>5410</v>
      </c>
      <c r="K70" s="6" t="n">
        <v>98</v>
      </c>
      <c r="L70" s="6" t="n">
        <v>750</v>
      </c>
    </row>
    <row r="71" customFormat="false" ht="15" hidden="false" customHeight="true" outlineLevel="0" collapsed="false">
      <c r="A71" s="3" t="n">
        <v>2021</v>
      </c>
      <c r="B71" s="4" t="s">
        <v>48</v>
      </c>
      <c r="C71" s="4" t="s">
        <v>49</v>
      </c>
      <c r="D71" s="5" t="n">
        <f aca="false">I71/H71</f>
        <v>0.0777108223901912</v>
      </c>
      <c r="E71" s="5" t="n">
        <f aca="false">J71/H71</f>
        <v>0.130899717858511</v>
      </c>
      <c r="F71" s="5" t="n">
        <f aca="false">IF(K71="","",K71/H71)</f>
        <v>0.00208993695356857</v>
      </c>
      <c r="G71" s="5" t="n">
        <f aca="false">L71/H71</f>
        <v>0.0122435473196559</v>
      </c>
      <c r="H71" s="6" t="n">
        <v>57418</v>
      </c>
      <c r="I71" s="6" t="n">
        <v>4462</v>
      </c>
      <c r="J71" s="6" t="n">
        <v>7516</v>
      </c>
      <c r="K71" s="6" t="n">
        <v>120</v>
      </c>
      <c r="L71" s="6" t="n">
        <v>703</v>
      </c>
    </row>
    <row r="72" customFormat="false" ht="15" hidden="false" customHeight="true" outlineLevel="0" collapsed="false">
      <c r="A72" s="3" t="n">
        <v>2021</v>
      </c>
      <c r="B72" s="4" t="s">
        <v>50</v>
      </c>
      <c r="C72" s="4" t="s">
        <v>51</v>
      </c>
      <c r="D72" s="5" t="n">
        <f aca="false">I72/H72</f>
        <v>0.0960800667222686</v>
      </c>
      <c r="E72" s="5" t="n">
        <f aca="false">J72/H72</f>
        <v>0.0968306922435363</v>
      </c>
      <c r="F72" s="5" t="n">
        <f aca="false">IF(K72="","",K72/H72)</f>
        <v>0</v>
      </c>
      <c r="G72" s="5" t="n">
        <f aca="false">L72/H72</f>
        <v>0.0254378648874062</v>
      </c>
      <c r="H72" s="6" t="n">
        <v>11990</v>
      </c>
      <c r="I72" s="6" t="n">
        <v>1152</v>
      </c>
      <c r="J72" s="6" t="n">
        <v>1161</v>
      </c>
      <c r="K72" s="6" t="n">
        <v>0</v>
      </c>
      <c r="L72" s="6" t="n">
        <v>305</v>
      </c>
    </row>
    <row r="73" customFormat="false" ht="15" hidden="false" customHeight="true" outlineLevel="0" collapsed="false">
      <c r="A73" s="3" t="n">
        <v>2021</v>
      </c>
      <c r="B73" s="4" t="s">
        <v>52</v>
      </c>
      <c r="C73" s="4" t="s">
        <v>53</v>
      </c>
      <c r="D73" s="5" t="n">
        <f aca="false">I73/H73</f>
        <v>0.0928910508116978</v>
      </c>
      <c r="E73" s="5" t="n">
        <f aca="false">J73/H73</f>
        <v>0.0993377483443709</v>
      </c>
      <c r="F73" s="5" t="n">
        <f aca="false">IF(K73="","",K73/H73)</f>
        <v>0.00124538475063002</v>
      </c>
      <c r="G73" s="5" t="n">
        <f aca="false">L73/H73</f>
        <v>0.0155599835902245</v>
      </c>
      <c r="H73" s="6" t="n">
        <v>68252</v>
      </c>
      <c r="I73" s="6" t="n">
        <v>6340</v>
      </c>
      <c r="J73" s="6" t="n">
        <v>6780</v>
      </c>
      <c r="K73" s="6" t="n">
        <v>85</v>
      </c>
      <c r="L73" s="6" t="n">
        <v>1062</v>
      </c>
    </row>
    <row r="74" customFormat="false" ht="15" hidden="false" customHeight="true" outlineLevel="0" collapsed="false">
      <c r="A74" s="3" t="n">
        <v>2021</v>
      </c>
      <c r="B74" s="4" t="s">
        <v>54</v>
      </c>
      <c r="C74" s="4" t="s">
        <v>55</v>
      </c>
      <c r="D74" s="5" t="n">
        <f aca="false">I74/H74</f>
        <v>0.0844208455105761</v>
      </c>
      <c r="E74" s="5" t="n">
        <f aca="false">J74/H74</f>
        <v>0.0703000665528517</v>
      </c>
      <c r="F74" s="5" t="n">
        <f aca="false">IF(K74="","",K74/H74)</f>
        <v>0.0034144506496137</v>
      </c>
      <c r="G74" s="5" t="n">
        <f aca="false">L74/H74</f>
        <v>0.0198790474261408</v>
      </c>
      <c r="H74" s="6" t="n">
        <v>69118</v>
      </c>
      <c r="I74" s="6" t="n">
        <v>5835</v>
      </c>
      <c r="J74" s="6" t="n">
        <v>4859</v>
      </c>
      <c r="K74" s="6" t="n">
        <v>236</v>
      </c>
      <c r="L74" s="6" t="n">
        <v>1374</v>
      </c>
    </row>
    <row r="75" customFormat="false" ht="15" hidden="false" customHeight="true" outlineLevel="0" collapsed="false">
      <c r="A75" s="3" t="n">
        <v>2021</v>
      </c>
      <c r="B75" s="4" t="s">
        <v>56</v>
      </c>
      <c r="C75" s="4" t="s">
        <v>57</v>
      </c>
      <c r="D75" s="5" t="n">
        <f aca="false">I75/H75</f>
        <v>0.0769428644925258</v>
      </c>
      <c r="E75" s="5" t="n">
        <f aca="false">J75/H75</f>
        <v>0.0873657834814836</v>
      </c>
      <c r="F75" s="5" t="n">
        <f aca="false">IF(K75="","",K75/H75)</f>
        <v>0.00522098684273206</v>
      </c>
      <c r="G75" s="5" t="n">
        <f aca="false">L75/H75</f>
        <v>0.0148626632749307</v>
      </c>
      <c r="H75" s="6" t="n">
        <v>104961</v>
      </c>
      <c r="I75" s="6" t="n">
        <v>8076</v>
      </c>
      <c r="J75" s="6" t="n">
        <v>9170</v>
      </c>
      <c r="K75" s="6" t="n">
        <v>548</v>
      </c>
      <c r="L75" s="6" t="n">
        <v>1560</v>
      </c>
    </row>
    <row r="76" customFormat="false" ht="15" hidden="false" customHeight="true" outlineLevel="0" collapsed="false">
      <c r="A76" s="3" t="n">
        <v>2021</v>
      </c>
      <c r="B76" s="4" t="s">
        <v>58</v>
      </c>
      <c r="C76" s="4" t="s">
        <v>59</v>
      </c>
      <c r="D76" s="5" t="n">
        <f aca="false">I76/H76</f>
        <v>0.0934763708625722</v>
      </c>
      <c r="E76" s="5" t="n">
        <f aca="false">J76/H76</f>
        <v>0.111532012668447</v>
      </c>
      <c r="F76" s="5" t="n">
        <f aca="false">IF(K76="","",K76/H76)</f>
        <v>0.00100912873377632</v>
      </c>
      <c r="G76" s="5" t="n">
        <f aca="false">L76/H76</f>
        <v>0.0194528969757188</v>
      </c>
      <c r="H76" s="6" t="n">
        <v>64412</v>
      </c>
      <c r="I76" s="6" t="n">
        <v>6021</v>
      </c>
      <c r="J76" s="6" t="n">
        <v>7184</v>
      </c>
      <c r="K76" s="6" t="n">
        <v>65</v>
      </c>
      <c r="L76" s="6" t="n">
        <v>1253</v>
      </c>
    </row>
    <row r="77" customFormat="false" ht="15" hidden="false" customHeight="true" outlineLevel="0" collapsed="false">
      <c r="A77" s="3" t="n">
        <v>2021</v>
      </c>
      <c r="B77" s="4" t="s">
        <v>60</v>
      </c>
      <c r="C77" s="4" t="s">
        <v>61</v>
      </c>
      <c r="D77" s="5" t="n">
        <f aca="false">I77/H77</f>
        <v>0.0535124672663099</v>
      </c>
      <c r="E77" s="5" t="n">
        <f aca="false">J77/H77</f>
        <v>0.102385289764317</v>
      </c>
      <c r="F77" s="5" t="n">
        <f aca="false">IF(K77="","",K77/H77)</f>
        <v>0.00150859615165661</v>
      </c>
      <c r="G77" s="5" t="n">
        <f aca="false">L77/H77</f>
        <v>0.00967778663326882</v>
      </c>
      <c r="H77" s="6" t="n">
        <v>35132</v>
      </c>
      <c r="I77" s="6" t="n">
        <v>1880</v>
      </c>
      <c r="J77" s="6" t="n">
        <v>3597</v>
      </c>
      <c r="K77" s="6" t="n">
        <v>53</v>
      </c>
      <c r="L77" s="6" t="n">
        <v>340</v>
      </c>
    </row>
    <row r="78" customFormat="false" ht="15" hidden="false" customHeight="true" outlineLevel="0" collapsed="false">
      <c r="A78" s="3" t="n">
        <v>2021</v>
      </c>
      <c r="B78" s="4" t="s">
        <v>62</v>
      </c>
      <c r="C78" s="4" t="s">
        <v>63</v>
      </c>
      <c r="D78" s="5" t="n">
        <f aca="false">I78/H78</f>
        <v>0.0879163606514883</v>
      </c>
      <c r="E78" s="5" t="n">
        <f aca="false">J78/H78</f>
        <v>0.100243372071255</v>
      </c>
      <c r="F78" s="5" t="n">
        <f aca="false">IF(K78="","",K78/H78)</f>
        <v>0.00577468642444665</v>
      </c>
      <c r="G78" s="5" t="n">
        <f aca="false">L78/H78</f>
        <v>0.015408764274708</v>
      </c>
      <c r="H78" s="6" t="n">
        <v>69441</v>
      </c>
      <c r="I78" s="6" t="n">
        <v>6105</v>
      </c>
      <c r="J78" s="6" t="n">
        <v>6961</v>
      </c>
      <c r="K78" s="6" t="n">
        <v>401</v>
      </c>
      <c r="L78" s="6" t="n">
        <v>1070</v>
      </c>
    </row>
    <row r="79" customFormat="false" ht="15" hidden="false" customHeight="true" outlineLevel="0" collapsed="false">
      <c r="A79" s="3" t="n">
        <v>2021</v>
      </c>
      <c r="B79" s="4" t="s">
        <v>64</v>
      </c>
      <c r="C79" s="4" t="s">
        <v>65</v>
      </c>
      <c r="D79" s="5" t="n">
        <f aca="false">I79/H79</f>
        <v>0.0644155381325731</v>
      </c>
      <c r="E79" s="5" t="n">
        <f aca="false">J79/H79</f>
        <v>0.0923022095509622</v>
      </c>
      <c r="F79" s="5" t="n">
        <f aca="false">IF(K79="","",K79/H79)</f>
        <v>0.00267284390591589</v>
      </c>
      <c r="G79" s="5" t="n">
        <f aca="false">L79/H79</f>
        <v>0.0159479686386315</v>
      </c>
      <c r="H79" s="6" t="n">
        <v>11224</v>
      </c>
      <c r="I79" s="6" t="n">
        <v>723</v>
      </c>
      <c r="J79" s="6" t="n">
        <v>1036</v>
      </c>
      <c r="K79" s="6" t="n">
        <v>30</v>
      </c>
      <c r="L79" s="6" t="n">
        <v>179</v>
      </c>
    </row>
    <row r="80" customFormat="false" ht="15" hidden="false" customHeight="true" outlineLevel="0" collapsed="false">
      <c r="A80" s="3" t="n">
        <v>2021</v>
      </c>
      <c r="B80" s="4" t="s">
        <v>66</v>
      </c>
      <c r="C80" s="4" t="s">
        <v>67</v>
      </c>
      <c r="D80" s="5" t="n">
        <f aca="false">I80/H80</f>
        <v>0.0897441113054798</v>
      </c>
      <c r="E80" s="5" t="n">
        <f aca="false">J80/H80</f>
        <v>0.0939343395305317</v>
      </c>
      <c r="F80" s="5" t="n">
        <f aca="false">IF(K80="","",K80/H80)</f>
        <v>0.00109840934054758</v>
      </c>
      <c r="G80" s="5" t="n">
        <f aca="false">L80/H80</f>
        <v>0.0194459135104349</v>
      </c>
      <c r="H80" s="6" t="n">
        <v>24581</v>
      </c>
      <c r="I80" s="6" t="n">
        <v>2206</v>
      </c>
      <c r="J80" s="6" t="n">
        <v>2309</v>
      </c>
      <c r="K80" s="6" t="n">
        <v>27</v>
      </c>
      <c r="L80" s="6" t="n">
        <v>478</v>
      </c>
    </row>
    <row r="81" customFormat="false" ht="15" hidden="false" customHeight="true" outlineLevel="0" collapsed="false">
      <c r="A81" s="3" t="n">
        <v>2021</v>
      </c>
      <c r="B81" s="4" t="s">
        <v>68</v>
      </c>
      <c r="C81" s="4" t="s">
        <v>69</v>
      </c>
      <c r="D81" s="5" t="n">
        <f aca="false">I81/H81</f>
        <v>0.0865407460204324</v>
      </c>
      <c r="E81" s="5" t="n">
        <f aca="false">J81/H81</f>
        <v>0.0789973865526253</v>
      </c>
      <c r="F81" s="5" t="n">
        <f aca="false">IF(K81="","",K81/H81)</f>
        <v>0.00691969588976004</v>
      </c>
      <c r="G81" s="5" t="n">
        <f aca="false">L81/H81</f>
        <v>0.0130375386077453</v>
      </c>
      <c r="H81" s="6" t="n">
        <v>33672</v>
      </c>
      <c r="I81" s="6" t="n">
        <v>2914</v>
      </c>
      <c r="J81" s="6" t="n">
        <v>2660</v>
      </c>
      <c r="K81" s="6" t="n">
        <v>233</v>
      </c>
      <c r="L81" s="6" t="n">
        <v>439</v>
      </c>
    </row>
    <row r="82" customFormat="false" ht="15" hidden="false" customHeight="true" outlineLevel="0" collapsed="false">
      <c r="A82" s="3" t="n">
        <v>2021</v>
      </c>
      <c r="B82" s="4" t="s">
        <v>70</v>
      </c>
      <c r="C82" s="4" t="s">
        <v>71</v>
      </c>
      <c r="D82" s="5" t="n">
        <f aca="false">I82/H82</f>
        <v>0.07957791177404</v>
      </c>
      <c r="E82" s="5" t="n">
        <f aca="false">J82/H82</f>
        <v>0.116391621707394</v>
      </c>
      <c r="F82" s="5" t="n">
        <f aca="false">IF(K82="","",K82/H82)</f>
        <v>0.00126943827356395</v>
      </c>
      <c r="G82" s="5" t="n">
        <f aca="false">L82/H82</f>
        <v>0.0218978102189781</v>
      </c>
      <c r="H82" s="6" t="n">
        <v>12604</v>
      </c>
      <c r="I82" s="6" t="n">
        <v>1003</v>
      </c>
      <c r="J82" s="6" t="n">
        <v>1467</v>
      </c>
      <c r="K82" s="6" t="n">
        <v>16</v>
      </c>
      <c r="L82" s="6" t="n">
        <v>276</v>
      </c>
    </row>
    <row r="83" customFormat="false" ht="15" hidden="false" customHeight="true" outlineLevel="0" collapsed="false">
      <c r="A83" s="3" t="n">
        <v>2021</v>
      </c>
      <c r="B83" s="4" t="s">
        <v>72</v>
      </c>
      <c r="C83" s="4" t="s">
        <v>73</v>
      </c>
      <c r="D83" s="5" t="n">
        <f aca="false">I83/H83</f>
        <v>0.0984577482138458</v>
      </c>
      <c r="E83" s="5" t="n">
        <f aca="false">J83/H83</f>
        <v>0.0679576250307958</v>
      </c>
      <c r="F83" s="5" t="n">
        <f aca="false">IF(K83="","",K83/H83)</f>
        <v>0.0011529933481153</v>
      </c>
      <c r="G83" s="5" t="n">
        <f aca="false">L83/H83</f>
        <v>0.0184478935698448</v>
      </c>
      <c r="H83" s="6" t="n">
        <v>101475</v>
      </c>
      <c r="I83" s="6" t="n">
        <v>9991</v>
      </c>
      <c r="J83" s="6" t="n">
        <v>6896</v>
      </c>
      <c r="K83" s="6" t="n">
        <v>117</v>
      </c>
      <c r="L83" s="6" t="n">
        <v>1872</v>
      </c>
    </row>
    <row r="84" customFormat="false" ht="15" hidden="false" customHeight="true" outlineLevel="0" collapsed="false">
      <c r="A84" s="3" t="n">
        <v>2021</v>
      </c>
      <c r="B84" s="4" t="s">
        <v>74</v>
      </c>
      <c r="C84" s="4" t="s">
        <v>75</v>
      </c>
      <c r="D84" s="5" t="n">
        <f aca="false">I84/H84</f>
        <v>0.0702558585527855</v>
      </c>
      <c r="E84" s="5" t="n">
        <f aca="false">J84/H84</f>
        <v>0.0816221525796342</v>
      </c>
      <c r="F84" s="5" t="n">
        <f aca="false">IF(K84="","",K84/H84)</f>
        <v>0.00631460779269377</v>
      </c>
      <c r="G84" s="5" t="n">
        <f aca="false">L84/H84</f>
        <v>0.0127695402030029</v>
      </c>
      <c r="H84" s="6" t="n">
        <v>21379</v>
      </c>
      <c r="I84" s="6" t="n">
        <v>1502</v>
      </c>
      <c r="J84" s="6" t="n">
        <v>1745</v>
      </c>
      <c r="K84" s="6" t="n">
        <v>135</v>
      </c>
      <c r="L84" s="6" t="n">
        <v>273</v>
      </c>
    </row>
    <row r="85" customFormat="false" ht="15" hidden="false" customHeight="true" outlineLevel="0" collapsed="false">
      <c r="A85" s="3" t="n">
        <v>2021</v>
      </c>
      <c r="B85" s="4" t="s">
        <v>76</v>
      </c>
      <c r="C85" s="4" t="s">
        <v>77</v>
      </c>
      <c r="D85" s="5" t="n">
        <f aca="false">I85/H85</f>
        <v>0.0924182311737125</v>
      </c>
      <c r="E85" s="5" t="n">
        <f aca="false">J85/H85</f>
        <v>0.0799417225080203</v>
      </c>
      <c r="F85" s="5" t="n">
        <f aca="false">IF(K85="","",K85/H85)</f>
        <v>0.00278099432411397</v>
      </c>
      <c r="G85" s="5" t="n">
        <f aca="false">L85/H85</f>
        <v>0.0161924106380152</v>
      </c>
      <c r="H85" s="6" t="n">
        <v>210716</v>
      </c>
      <c r="I85" s="6" t="n">
        <v>19474</v>
      </c>
      <c r="J85" s="6" t="n">
        <v>16845</v>
      </c>
      <c r="K85" s="6" t="n">
        <v>586</v>
      </c>
      <c r="L85" s="6" t="n">
        <v>3412</v>
      </c>
    </row>
    <row r="86" customFormat="false" ht="15" hidden="false" customHeight="true" outlineLevel="0" collapsed="false">
      <c r="A86" s="3" t="n">
        <v>2021</v>
      </c>
      <c r="B86" s="4" t="s">
        <v>78</v>
      </c>
      <c r="C86" s="4" t="s">
        <v>79</v>
      </c>
      <c r="D86" s="5" t="n">
        <f aca="false">I86/H86</f>
        <v>0.0820617974729781</v>
      </c>
      <c r="E86" s="5" t="n">
        <f aca="false">J86/H86</f>
        <v>0.10178651480184</v>
      </c>
      <c r="F86" s="5" t="n">
        <f aca="false">IF(K86="","",K86/H86)</f>
        <v>0.00302180012950572</v>
      </c>
      <c r="G86" s="5" t="n">
        <f aca="false">L86/H86</f>
        <v>0.0158561490311976</v>
      </c>
      <c r="H86" s="6" t="n">
        <v>120458</v>
      </c>
      <c r="I86" s="6" t="n">
        <v>9885</v>
      </c>
      <c r="J86" s="6" t="n">
        <v>12261</v>
      </c>
      <c r="K86" s="6" t="n">
        <v>364</v>
      </c>
      <c r="L86" s="6" t="n">
        <v>1910</v>
      </c>
    </row>
    <row r="87" customFormat="false" ht="15" hidden="false" customHeight="true" outlineLevel="0" collapsed="false">
      <c r="A87" s="3" t="n">
        <v>2021</v>
      </c>
      <c r="B87" s="4" t="s">
        <v>80</v>
      </c>
      <c r="C87" s="4" t="s">
        <v>81</v>
      </c>
      <c r="D87" s="5" t="n">
        <f aca="false">I87/H87</f>
        <v>0.075187969924812</v>
      </c>
      <c r="E87" s="5" t="n">
        <f aca="false">J87/H87</f>
        <v>0.0946774831816383</v>
      </c>
      <c r="F87" s="5" t="n">
        <f aca="false">IF(K87="","",K87/H87)</f>
        <v>0.00138504155124654</v>
      </c>
      <c r="G87" s="5" t="n">
        <f aca="false">L87/H87</f>
        <v>0.0232489117530669</v>
      </c>
      <c r="H87" s="6" t="n">
        <v>10108</v>
      </c>
      <c r="I87" s="6" t="n">
        <v>760</v>
      </c>
      <c r="J87" s="6" t="n">
        <v>957</v>
      </c>
      <c r="K87" s="6" t="n">
        <v>14</v>
      </c>
      <c r="L87" s="6" t="n">
        <v>235</v>
      </c>
    </row>
    <row r="88" customFormat="false" ht="15" hidden="false" customHeight="true" outlineLevel="0" collapsed="false">
      <c r="A88" s="3" t="n">
        <v>2021</v>
      </c>
      <c r="B88" s="4" t="s">
        <v>82</v>
      </c>
      <c r="C88" s="4" t="s">
        <v>83</v>
      </c>
      <c r="D88" s="5" t="n">
        <f aca="false">I88/H88</f>
        <v>0.0927499826628345</v>
      </c>
      <c r="E88" s="5" t="n">
        <f aca="false">J88/H88</f>
        <v>0.119318225598903</v>
      </c>
      <c r="F88" s="5" t="n">
        <f aca="false">IF(K88="","",K88/H88)</f>
        <v>0.00230391665831914</v>
      </c>
      <c r="G88" s="5" t="n">
        <f aca="false">L88/H88</f>
        <v>0.0204501498701639</v>
      </c>
      <c r="H88" s="6" t="n">
        <v>129779</v>
      </c>
      <c r="I88" s="6" t="n">
        <v>12037</v>
      </c>
      <c r="J88" s="6" t="n">
        <v>15485</v>
      </c>
      <c r="K88" s="6" t="n">
        <v>299</v>
      </c>
      <c r="L88" s="6" t="n">
        <v>2654</v>
      </c>
    </row>
    <row r="89" customFormat="false" ht="15" hidden="false" customHeight="true" outlineLevel="0" collapsed="false">
      <c r="A89" s="3" t="n">
        <v>2021</v>
      </c>
      <c r="B89" s="4" t="s">
        <v>84</v>
      </c>
      <c r="C89" s="4" t="s">
        <v>85</v>
      </c>
      <c r="D89" s="5" t="n">
        <f aca="false">I89/H89</f>
        <v>0.0660578135008368</v>
      </c>
      <c r="E89" s="5" t="n">
        <f aca="false">J89/H89</f>
        <v>0.0828150505196603</v>
      </c>
      <c r="F89" s="5" t="n">
        <f aca="false">IF(K89="","",K89/H89)</f>
        <v>0.00570283282021613</v>
      </c>
      <c r="G89" s="5" t="n">
        <f aca="false">L89/H89</f>
        <v>0.0182036076616319</v>
      </c>
      <c r="H89" s="6" t="n">
        <v>48397</v>
      </c>
      <c r="I89" s="6" t="n">
        <v>3197</v>
      </c>
      <c r="J89" s="6" t="n">
        <v>4008</v>
      </c>
      <c r="K89" s="6" t="n">
        <v>276</v>
      </c>
      <c r="L89" s="6" t="n">
        <v>881</v>
      </c>
    </row>
    <row r="90" customFormat="false" ht="15" hidden="false" customHeight="true" outlineLevel="0" collapsed="false">
      <c r="A90" s="3" t="n">
        <v>2021</v>
      </c>
      <c r="B90" s="4" t="s">
        <v>86</v>
      </c>
      <c r="C90" s="4" t="s">
        <v>87</v>
      </c>
      <c r="D90" s="5" t="n">
        <f aca="false">I90/H90</f>
        <v>0.109608140501932</v>
      </c>
      <c r="E90" s="5" t="n">
        <f aca="false">J90/H90</f>
        <v>0.112494496355364</v>
      </c>
      <c r="F90" s="5" t="n">
        <f aca="false">IF(K90="","",K90/H90)</f>
        <v>0.0014920992123673</v>
      </c>
      <c r="G90" s="5" t="n">
        <f aca="false">L90/H90</f>
        <v>0.0198375813316374</v>
      </c>
      <c r="H90" s="6" t="n">
        <v>40882</v>
      </c>
      <c r="I90" s="6" t="n">
        <v>4481</v>
      </c>
      <c r="J90" s="6" t="n">
        <v>4599</v>
      </c>
      <c r="K90" s="6" t="n">
        <v>61</v>
      </c>
      <c r="L90" s="6" t="n">
        <v>811</v>
      </c>
    </row>
    <row r="91" customFormat="false" ht="15" hidden="false" customHeight="true" outlineLevel="0" collapsed="false">
      <c r="A91" s="3" t="n">
        <v>2021</v>
      </c>
      <c r="B91" s="4" t="s">
        <v>88</v>
      </c>
      <c r="C91" s="4" t="s">
        <v>89</v>
      </c>
      <c r="D91" s="5" t="n">
        <f aca="false">I91/H91</f>
        <v>0.0880185826225329</v>
      </c>
      <c r="E91" s="5" t="n">
        <f aca="false">J91/H91</f>
        <v>0.0938256521640761</v>
      </c>
      <c r="F91" s="5" t="n">
        <f aca="false">IF(K91="","",K91/H91)</f>
        <v>0.00760952359404813</v>
      </c>
      <c r="G91" s="5" t="n">
        <f aca="false">L91/H91</f>
        <v>0.0159430454686003</v>
      </c>
      <c r="H91" s="6" t="n">
        <v>132597</v>
      </c>
      <c r="I91" s="6" t="n">
        <v>11671</v>
      </c>
      <c r="J91" s="6" t="n">
        <v>12441</v>
      </c>
      <c r="K91" s="6" t="n">
        <v>1009</v>
      </c>
      <c r="L91" s="6" t="n">
        <v>2114</v>
      </c>
    </row>
    <row r="92" customFormat="false" ht="15" hidden="false" customHeight="true" outlineLevel="0" collapsed="false">
      <c r="A92" s="3" t="n">
        <v>2021</v>
      </c>
      <c r="B92" s="4" t="s">
        <v>90</v>
      </c>
      <c r="C92" s="4" t="s">
        <v>91</v>
      </c>
      <c r="D92" s="5" t="n">
        <f aca="false">I92/H92</f>
        <v>0.0888910152138551</v>
      </c>
      <c r="E92" s="5" t="n">
        <f aca="false">J92/H92</f>
        <v>0.10745383216917</v>
      </c>
      <c r="F92" s="5" t="n">
        <f aca="false">IF(K92="","",K92/H92)</f>
        <v>0</v>
      </c>
      <c r="G92" s="5" t="n">
        <f aca="false">L92/H92</f>
        <v>0.0215290402832265</v>
      </c>
      <c r="H92" s="6" t="n">
        <v>10451</v>
      </c>
      <c r="I92" s="6" t="n">
        <v>929</v>
      </c>
      <c r="J92" s="6" t="n">
        <v>1123</v>
      </c>
      <c r="K92" s="6" t="n">
        <v>0</v>
      </c>
      <c r="L92" s="6" t="n">
        <v>225</v>
      </c>
    </row>
    <row r="93" customFormat="false" ht="15" hidden="false" customHeight="true" outlineLevel="0" collapsed="false">
      <c r="A93" s="3" t="n">
        <v>2021</v>
      </c>
      <c r="B93" s="4" t="s">
        <v>92</v>
      </c>
      <c r="C93" s="4" t="s">
        <v>93</v>
      </c>
      <c r="D93" s="5" t="n">
        <f aca="false">I93/H93</f>
        <v>0.072494184724627</v>
      </c>
      <c r="E93" s="5" t="n">
        <f aca="false">J93/H93</f>
        <v>0.093394196967312</v>
      </c>
      <c r="F93" s="5" t="str">
        <f aca="false">IF(K93="","",K93/H93)</f>
        <v/>
      </c>
      <c r="G93" s="5" t="n">
        <f aca="false">L93/H93</f>
        <v>0.011525613445966</v>
      </c>
      <c r="H93" s="6" t="n">
        <v>57177</v>
      </c>
      <c r="I93" s="6" t="n">
        <v>4145</v>
      </c>
      <c r="J93" s="6" t="n">
        <v>5340</v>
      </c>
      <c r="K93" s="6"/>
      <c r="L93" s="6" t="n">
        <v>659</v>
      </c>
    </row>
    <row r="94" customFormat="false" ht="15" hidden="false" customHeight="true" outlineLevel="0" collapsed="false">
      <c r="A94" s="3" t="n">
        <v>2021</v>
      </c>
      <c r="B94" s="4" t="s">
        <v>94</v>
      </c>
      <c r="C94" s="4" t="s">
        <v>95</v>
      </c>
      <c r="D94" s="5" t="n">
        <f aca="false">I94/H94</f>
        <v>0.107470049330514</v>
      </c>
      <c r="E94" s="5" t="n">
        <f aca="false">J94/H94</f>
        <v>0.0818357998590557</v>
      </c>
      <c r="F94" s="5" t="n">
        <f aca="false">IF(K94="","",K94/H94)</f>
        <v>0.00977801268498943</v>
      </c>
      <c r="G94" s="5" t="n">
        <f aca="false">L94/H94</f>
        <v>0.0149753347427766</v>
      </c>
      <c r="H94" s="6" t="n">
        <v>11352</v>
      </c>
      <c r="I94" s="6" t="n">
        <v>1220</v>
      </c>
      <c r="J94" s="6" t="n">
        <v>929</v>
      </c>
      <c r="K94" s="6" t="n">
        <v>111</v>
      </c>
      <c r="L94" s="6" t="n">
        <v>170</v>
      </c>
    </row>
    <row r="95" customFormat="false" ht="15" hidden="false" customHeight="true" outlineLevel="0" collapsed="false">
      <c r="A95" s="3" t="n">
        <v>2021</v>
      </c>
      <c r="B95" s="4" t="s">
        <v>96</v>
      </c>
      <c r="C95" s="4" t="s">
        <v>97</v>
      </c>
      <c r="D95" s="5" t="n">
        <f aca="false">I95/H95</f>
        <v>0.0826927784577723</v>
      </c>
      <c r="E95" s="5" t="n">
        <f aca="false">J95/H95</f>
        <v>0.0914320685434517</v>
      </c>
      <c r="F95" s="5" t="n">
        <f aca="false">IF(K95="","",K95/H95)</f>
        <v>0.00343941248470012</v>
      </c>
      <c r="G95" s="5" t="n">
        <f aca="false">L95/H95</f>
        <v>0.0136474908200734</v>
      </c>
      <c r="H95" s="6" t="n">
        <v>81700</v>
      </c>
      <c r="I95" s="6" t="n">
        <v>6756</v>
      </c>
      <c r="J95" s="6" t="n">
        <v>7470</v>
      </c>
      <c r="K95" s="6" t="n">
        <v>281</v>
      </c>
      <c r="L95" s="6" t="n">
        <v>1115</v>
      </c>
    </row>
    <row r="96" customFormat="false" ht="15" hidden="false" customHeight="true" outlineLevel="0" collapsed="false">
      <c r="A96" s="3" t="n">
        <v>2021</v>
      </c>
      <c r="B96" s="4" t="s">
        <v>98</v>
      </c>
      <c r="C96" s="4" t="s">
        <v>99</v>
      </c>
      <c r="D96" s="5" t="n">
        <f aca="false">I96/H96</f>
        <v>0.0666020659730123</v>
      </c>
      <c r="E96" s="5" t="n">
        <f aca="false">J96/H96</f>
        <v>0.0808079726535627</v>
      </c>
      <c r="F96" s="5" t="n">
        <f aca="false">IF(K96="","",K96/H96)</f>
        <v>0.000899412972426033</v>
      </c>
      <c r="G96" s="5" t="n">
        <f aca="false">L96/H96</f>
        <v>0.00725151709018489</v>
      </c>
      <c r="H96" s="6" t="n">
        <v>373577</v>
      </c>
      <c r="I96" s="6" t="n">
        <v>24881</v>
      </c>
      <c r="J96" s="6" t="n">
        <v>30188</v>
      </c>
      <c r="K96" s="6" t="n">
        <v>336</v>
      </c>
      <c r="L96" s="6" t="n">
        <v>2709</v>
      </c>
    </row>
    <row r="97" customFormat="false" ht="15" hidden="false" customHeight="true" outlineLevel="0" collapsed="false">
      <c r="A97" s="3" t="n">
        <v>2021</v>
      </c>
      <c r="B97" s="4" t="s">
        <v>100</v>
      </c>
      <c r="C97" s="4" t="s">
        <v>101</v>
      </c>
      <c r="D97" s="5" t="n">
        <f aca="false">I97/H97</f>
        <v>0.0753254539225762</v>
      </c>
      <c r="E97" s="5" t="n">
        <f aca="false">J97/H97</f>
        <v>0.0829907502569373</v>
      </c>
      <c r="F97" s="5" t="n">
        <f aca="false">IF(K97="","",K97/H97)</f>
        <v>0.000363994518670778</v>
      </c>
      <c r="G97" s="5" t="n">
        <f aca="false">L97/H97</f>
        <v>0.0247302158273381</v>
      </c>
      <c r="H97" s="6" t="n">
        <v>46704</v>
      </c>
      <c r="I97" s="6" t="n">
        <v>3518</v>
      </c>
      <c r="J97" s="6" t="n">
        <v>3876</v>
      </c>
      <c r="K97" s="6" t="n">
        <v>17</v>
      </c>
      <c r="L97" s="6" t="n">
        <v>1155</v>
      </c>
    </row>
    <row r="98" customFormat="false" ht="15" hidden="false" customHeight="true" outlineLevel="0" collapsed="false">
      <c r="A98" s="3" t="n">
        <v>2021</v>
      </c>
      <c r="B98" s="4" t="s">
        <v>102</v>
      </c>
      <c r="C98" s="4" t="s">
        <v>103</v>
      </c>
      <c r="D98" s="5" t="n">
        <f aca="false">I98/H98</f>
        <v>0.0882188721384701</v>
      </c>
      <c r="E98" s="5" t="n">
        <f aca="false">J98/H98</f>
        <v>0.109622184999069</v>
      </c>
      <c r="F98" s="5" t="n">
        <f aca="false">IF(K98="","",K98/H98)</f>
        <v>0.00297785222408338</v>
      </c>
      <c r="G98" s="5" t="n">
        <f aca="false">L98/H98</f>
        <v>0.0268006700167504</v>
      </c>
      <c r="H98" s="6" t="n">
        <v>5373</v>
      </c>
      <c r="I98" s="6" t="n">
        <v>474</v>
      </c>
      <c r="J98" s="6" t="n">
        <v>589</v>
      </c>
      <c r="K98" s="6" t="n">
        <v>16</v>
      </c>
      <c r="L98" s="6" t="n">
        <v>144</v>
      </c>
    </row>
    <row r="99" customFormat="false" ht="15" hidden="false" customHeight="true" outlineLevel="0" collapsed="false">
      <c r="A99" s="3" t="n">
        <v>2021</v>
      </c>
      <c r="B99" s="4" t="s">
        <v>104</v>
      </c>
      <c r="C99" s="4" t="s">
        <v>105</v>
      </c>
      <c r="D99" s="5" t="n">
        <f aca="false">I99/H99</f>
        <v>0.0791091993025611</v>
      </c>
      <c r="E99" s="5" t="n">
        <f aca="false">J99/H99</f>
        <v>0.0953236095595068</v>
      </c>
      <c r="F99" s="5" t="n">
        <f aca="false">IF(K99="","",K99/H99)</f>
        <v>0.000960544587018031</v>
      </c>
      <c r="G99" s="5" t="n">
        <f aca="false">L99/H99</f>
        <v>0.00804978126729241</v>
      </c>
      <c r="H99" s="6" t="n">
        <v>95779</v>
      </c>
      <c r="I99" s="6" t="n">
        <v>7577</v>
      </c>
      <c r="J99" s="6" t="n">
        <v>9130</v>
      </c>
      <c r="K99" s="6" t="n">
        <v>92</v>
      </c>
      <c r="L99" s="6" t="n">
        <v>771</v>
      </c>
    </row>
    <row r="100" customFormat="false" ht="15" hidden="false" customHeight="true" outlineLevel="0" collapsed="false">
      <c r="A100" s="3" t="n">
        <v>2021</v>
      </c>
      <c r="B100" s="4" t="s">
        <v>106</v>
      </c>
      <c r="C100" s="4" t="s">
        <v>107</v>
      </c>
      <c r="D100" s="5" t="n">
        <f aca="false">I100/H100</f>
        <v>0.117748030182022</v>
      </c>
      <c r="E100" s="5" t="n">
        <f aca="false">J100/H100</f>
        <v>0.10077362291545</v>
      </c>
      <c r="F100" s="5" t="n">
        <f aca="false">IF(K100="","",K100/H100)</f>
        <v>0.00194299746099105</v>
      </c>
      <c r="G100" s="5" t="n">
        <f aca="false">L100/H100</f>
        <v>0.0164022362351146</v>
      </c>
      <c r="H100" s="6" t="n">
        <v>83891</v>
      </c>
      <c r="I100" s="6" t="n">
        <v>9878</v>
      </c>
      <c r="J100" s="6" t="n">
        <v>8454</v>
      </c>
      <c r="K100" s="6" t="n">
        <v>163</v>
      </c>
      <c r="L100" s="6" t="n">
        <v>1376</v>
      </c>
    </row>
    <row r="101" customFormat="false" ht="15" hidden="false" customHeight="true" outlineLevel="0" collapsed="false">
      <c r="A101" s="3" t="n">
        <v>2021</v>
      </c>
      <c r="B101" s="4" t="s">
        <v>108</v>
      </c>
      <c r="C101" s="4" t="s">
        <v>109</v>
      </c>
      <c r="D101" s="5" t="n">
        <f aca="false">I101/H101</f>
        <v>0.0774249927177396</v>
      </c>
      <c r="E101" s="5" t="n">
        <f aca="false">J101/H101</f>
        <v>0.112146810369939</v>
      </c>
      <c r="F101" s="5" t="n">
        <f aca="false">IF(K101="","",K101/H101)</f>
        <v>0</v>
      </c>
      <c r="G101" s="5" t="n">
        <f aca="false">L101/H101</f>
        <v>0.0136323914943198</v>
      </c>
      <c r="H101" s="6" t="n">
        <v>17165</v>
      </c>
      <c r="I101" s="6" t="n">
        <v>1329</v>
      </c>
      <c r="J101" s="6" t="n">
        <v>1925</v>
      </c>
      <c r="K101" s="6" t="n">
        <v>0</v>
      </c>
      <c r="L101" s="6" t="n">
        <v>234</v>
      </c>
    </row>
    <row r="102" customFormat="false" ht="15" hidden="false" customHeight="true" outlineLevel="0" collapsed="false">
      <c r="A102" s="3" t="n">
        <v>2021</v>
      </c>
      <c r="B102" s="4" t="s">
        <v>110</v>
      </c>
      <c r="C102" s="4" t="s">
        <v>111</v>
      </c>
      <c r="D102" s="5" t="n">
        <f aca="false">I102/H102</f>
        <v>0.0839135926417722</v>
      </c>
      <c r="E102" s="5" t="n">
        <f aca="false">J102/H102</f>
        <v>0.0913301162677721</v>
      </c>
      <c r="F102" s="5" t="n">
        <f aca="false">IF(K102="","",K102/H102)</f>
        <v>0.00265569841629692</v>
      </c>
      <c r="G102" s="5" t="n">
        <f aca="false">L102/H102</f>
        <v>0.0215694529908994</v>
      </c>
      <c r="H102" s="6" t="n">
        <v>61754</v>
      </c>
      <c r="I102" s="6" t="n">
        <v>5182</v>
      </c>
      <c r="J102" s="6" t="n">
        <v>5640</v>
      </c>
      <c r="K102" s="6" t="n">
        <v>164</v>
      </c>
      <c r="L102" s="6" t="n">
        <v>1332</v>
      </c>
    </row>
    <row r="103" customFormat="false" ht="15" hidden="false" customHeight="true" outlineLevel="0" collapsed="false">
      <c r="A103" s="3" t="n">
        <v>2021</v>
      </c>
      <c r="B103" s="4" t="s">
        <v>112</v>
      </c>
      <c r="C103" s="4" t="s">
        <v>113</v>
      </c>
      <c r="D103" s="5" t="n">
        <f aca="false">I103/H103</f>
        <v>0.0621786632390746</v>
      </c>
      <c r="E103" s="5" t="n">
        <f aca="false">J103/H103</f>
        <v>0.105880462724936</v>
      </c>
      <c r="F103" s="5" t="n">
        <f aca="false">IF(K103="","",K103/H103)</f>
        <v>0.00465938303341902</v>
      </c>
      <c r="G103" s="5" t="n">
        <f aca="false">L103/H103</f>
        <v>0.0199228791773779</v>
      </c>
      <c r="H103" s="6" t="n">
        <v>6224</v>
      </c>
      <c r="I103" s="6" t="n">
        <v>387</v>
      </c>
      <c r="J103" s="6" t="n">
        <v>659</v>
      </c>
      <c r="K103" s="6" t="n">
        <v>29</v>
      </c>
      <c r="L103" s="6" t="n">
        <v>124</v>
      </c>
    </row>
    <row r="104" customFormat="false" ht="15" hidden="false" customHeight="true" outlineLevel="0" collapsed="false">
      <c r="A104" s="3" t="n">
        <v>2022</v>
      </c>
      <c r="B104" s="4" t="s">
        <v>12</v>
      </c>
      <c r="C104" s="4" t="s">
        <v>13</v>
      </c>
      <c r="D104" s="5" t="n">
        <f aca="false">I104/H104</f>
        <v>0.0641237397198995</v>
      </c>
      <c r="E104" s="5" t="n">
        <f aca="false">J104/H104</f>
        <v>0.128918481814115</v>
      </c>
      <c r="F104" s="5" t="n">
        <f aca="false">IF(K104="","",K104/H104)</f>
        <v>0.000911875021506486</v>
      </c>
      <c r="G104" s="5" t="n">
        <f aca="false">L104/H104</f>
        <v>0.0120952479267747</v>
      </c>
      <c r="H104" s="6" t="n">
        <v>58122</v>
      </c>
      <c r="I104" s="6" t="n">
        <v>3727</v>
      </c>
      <c r="J104" s="6" t="n">
        <v>7493</v>
      </c>
      <c r="K104" s="6" t="n">
        <v>53</v>
      </c>
      <c r="L104" s="6" t="n">
        <v>703</v>
      </c>
    </row>
    <row r="105" customFormat="false" ht="15" hidden="false" customHeight="true" outlineLevel="0" collapsed="false">
      <c r="A105" s="3" t="n">
        <v>2022</v>
      </c>
      <c r="B105" s="4" t="s">
        <v>14</v>
      </c>
      <c r="C105" s="4" t="s">
        <v>15</v>
      </c>
      <c r="D105" s="5" t="n">
        <f aca="false">I105/H105</f>
        <v>0.133418995609808</v>
      </c>
      <c r="E105" s="5" t="n">
        <f aca="false">J105/H105</f>
        <v>0.138879965735089</v>
      </c>
      <c r="F105" s="5" t="n">
        <f aca="false">IF(K105="","",K105/H105)</f>
        <v>0.00149908983831245</v>
      </c>
      <c r="G105" s="5" t="n">
        <f aca="false">L105/H105</f>
        <v>0.0284827069279366</v>
      </c>
      <c r="H105" s="6" t="n">
        <v>9339</v>
      </c>
      <c r="I105" s="6" t="n">
        <v>1246</v>
      </c>
      <c r="J105" s="6" t="n">
        <v>1297</v>
      </c>
      <c r="K105" s="6" t="n">
        <v>14</v>
      </c>
      <c r="L105" s="6" t="n">
        <v>266</v>
      </c>
    </row>
    <row r="106" customFormat="false" ht="15" hidden="false" customHeight="true" outlineLevel="0" collapsed="false">
      <c r="A106" s="3" t="n">
        <v>2022</v>
      </c>
      <c r="B106" s="4" t="s">
        <v>16</v>
      </c>
      <c r="C106" s="4" t="s">
        <v>17</v>
      </c>
      <c r="D106" s="5" t="n">
        <f aca="false">I106/H106</f>
        <v>0.101940511357849</v>
      </c>
      <c r="E106" s="5" t="n">
        <f aca="false">J106/H106</f>
        <v>0.0990883161862076</v>
      </c>
      <c r="F106" s="5" t="n">
        <f aca="false">IF(K106="","",K106/H106)</f>
        <v>0.00171895691148009</v>
      </c>
      <c r="G106" s="5" t="n">
        <f aca="false">L106/H106</f>
        <v>0.013102271569726</v>
      </c>
      <c r="H106" s="6" t="n">
        <v>78536</v>
      </c>
      <c r="I106" s="6" t="n">
        <v>8006</v>
      </c>
      <c r="J106" s="6" t="n">
        <v>7782</v>
      </c>
      <c r="K106" s="6" t="n">
        <v>135</v>
      </c>
      <c r="L106" s="6" t="n">
        <v>1029</v>
      </c>
    </row>
    <row r="107" customFormat="false" ht="15" hidden="false" customHeight="true" outlineLevel="0" collapsed="false">
      <c r="A107" s="3" t="n">
        <v>2022</v>
      </c>
      <c r="B107" s="4" t="s">
        <v>18</v>
      </c>
      <c r="C107" s="4" t="s">
        <v>19</v>
      </c>
      <c r="D107" s="5" t="n">
        <f aca="false">I107/H107</f>
        <v>0.0664109867178027</v>
      </c>
      <c r="E107" s="5" t="n">
        <f aca="false">J107/H107</f>
        <v>0.0965849806830039</v>
      </c>
      <c r="F107" s="5" t="n">
        <f aca="false">IF(K107="","",K107/H107)</f>
        <v>0.0105749978850004</v>
      </c>
      <c r="G107" s="5" t="n">
        <f aca="false">L107/H107</f>
        <v>0.0137051972589605</v>
      </c>
      <c r="H107" s="6" t="n">
        <v>35461</v>
      </c>
      <c r="I107" s="6" t="n">
        <v>2355</v>
      </c>
      <c r="J107" s="6" t="n">
        <v>3425</v>
      </c>
      <c r="K107" s="6" t="n">
        <v>375</v>
      </c>
      <c r="L107" s="6" t="n">
        <v>486</v>
      </c>
    </row>
    <row r="108" customFormat="false" ht="15" hidden="false" customHeight="true" outlineLevel="0" collapsed="false">
      <c r="A108" s="3" t="n">
        <v>2022</v>
      </c>
      <c r="B108" s="4" t="s">
        <v>20</v>
      </c>
      <c r="C108" s="4" t="s">
        <v>21</v>
      </c>
      <c r="D108" s="5" t="n">
        <f aca="false">I108/H108</f>
        <v>0.0866951888501011</v>
      </c>
      <c r="E108" s="5" t="n">
        <f aca="false">J108/H108</f>
        <v>0.0780478609555488</v>
      </c>
      <c r="F108" s="5" t="n">
        <f aca="false">IF(K108="","",K108/H108)</f>
        <v>0.000641868433673993</v>
      </c>
      <c r="G108" s="5" t="n">
        <f aca="false">L108/H108</f>
        <v>0.0123840043522975</v>
      </c>
      <c r="H108" s="6" t="n">
        <v>419089</v>
      </c>
      <c r="I108" s="6" t="n">
        <v>36333</v>
      </c>
      <c r="J108" s="6" t="n">
        <v>32709</v>
      </c>
      <c r="K108" s="6" t="n">
        <v>269</v>
      </c>
      <c r="L108" s="6" t="n">
        <v>5190</v>
      </c>
    </row>
    <row r="109" customFormat="false" ht="15" hidden="false" customHeight="true" outlineLevel="0" collapsed="false">
      <c r="A109" s="3" t="n">
        <v>2022</v>
      </c>
      <c r="B109" s="4" t="s">
        <v>22</v>
      </c>
      <c r="C109" s="4" t="s">
        <v>23</v>
      </c>
      <c r="D109" s="5" t="n">
        <f aca="false">I109/H109</f>
        <v>0.0650277430321691</v>
      </c>
      <c r="E109" s="5" t="n">
        <f aca="false">J109/H109</f>
        <v>0.109753359633086</v>
      </c>
      <c r="F109" s="5" t="n">
        <f aca="false">IF(K109="","",K109/H109)</f>
        <v>0.0130376214759935</v>
      </c>
      <c r="G109" s="5" t="n">
        <f aca="false">L109/H109</f>
        <v>0.014320536258379</v>
      </c>
      <c r="H109" s="6" t="n">
        <v>62358</v>
      </c>
      <c r="I109" s="6" t="n">
        <v>4055</v>
      </c>
      <c r="J109" s="6" t="n">
        <v>6844</v>
      </c>
      <c r="K109" s="6" t="n">
        <v>813</v>
      </c>
      <c r="L109" s="6" t="n">
        <v>893</v>
      </c>
    </row>
    <row r="110" customFormat="false" ht="15" hidden="false" customHeight="true" outlineLevel="0" collapsed="false">
      <c r="A110" s="3" t="n">
        <v>2022</v>
      </c>
      <c r="B110" s="4" t="s">
        <v>24</v>
      </c>
      <c r="C110" s="4" t="s">
        <v>25</v>
      </c>
      <c r="D110" s="5" t="n">
        <f aca="false">I110/H110</f>
        <v>0.0749497409179715</v>
      </c>
      <c r="E110" s="5" t="n">
        <f aca="false">J110/H110</f>
        <v>0.0839822181952035</v>
      </c>
      <c r="F110" s="5" t="n">
        <f aca="false">IF(K110="","",K110/H110)</f>
        <v>0.00150069371690687</v>
      </c>
      <c r="G110" s="5" t="n">
        <f aca="false">L110/H110</f>
        <v>0.0153184019027664</v>
      </c>
      <c r="H110" s="6" t="n">
        <v>35317</v>
      </c>
      <c r="I110" s="6" t="n">
        <v>2647</v>
      </c>
      <c r="J110" s="6" t="n">
        <v>2966</v>
      </c>
      <c r="K110" s="6" t="n">
        <v>53</v>
      </c>
      <c r="L110" s="6" t="n">
        <v>541</v>
      </c>
    </row>
    <row r="111" customFormat="false" ht="15" hidden="false" customHeight="true" outlineLevel="0" collapsed="false">
      <c r="A111" s="3" t="n">
        <v>2022</v>
      </c>
      <c r="B111" s="4" t="s">
        <v>26</v>
      </c>
      <c r="C111" s="4" t="s">
        <v>27</v>
      </c>
      <c r="D111" s="5" t="n">
        <f aca="false">I111/H111</f>
        <v>0.0863888888888889</v>
      </c>
      <c r="E111" s="5" t="n">
        <f aca="false">J111/H111</f>
        <v>0.0983333333333333</v>
      </c>
      <c r="F111" s="5" t="n">
        <f aca="false">IF(K111="","",K111/H111)</f>
        <v>0.000925925925925926</v>
      </c>
      <c r="G111" s="5" t="n">
        <f aca="false">L111/H111</f>
        <v>0.014537037037037</v>
      </c>
      <c r="H111" s="6" t="n">
        <v>10800</v>
      </c>
      <c r="I111" s="6" t="n">
        <v>933</v>
      </c>
      <c r="J111" s="6" t="n">
        <v>1062</v>
      </c>
      <c r="K111" s="6" t="n">
        <v>10</v>
      </c>
      <c r="L111" s="6" t="n">
        <v>157</v>
      </c>
    </row>
    <row r="112" customFormat="false" ht="15" hidden="false" customHeight="true" outlineLevel="0" collapsed="false">
      <c r="A112" s="3" t="n">
        <v>2022</v>
      </c>
      <c r="B112" s="4" t="s">
        <v>28</v>
      </c>
      <c r="C112" s="4" t="s">
        <v>29</v>
      </c>
      <c r="D112" s="5" t="n">
        <f aca="false">I112/H112</f>
        <v>0.0487198608003977</v>
      </c>
      <c r="E112" s="5" t="n">
        <f aca="false">J112/H112</f>
        <v>0.0847626149639573</v>
      </c>
      <c r="F112" s="5" t="n">
        <f aca="false">IF(K112="","",K112/H112)</f>
        <v>0.00608998260004971</v>
      </c>
      <c r="G112" s="5" t="n">
        <f aca="false">L112/H112</f>
        <v>0.0200099428287348</v>
      </c>
      <c r="H112" s="6" t="n">
        <v>8046</v>
      </c>
      <c r="I112" s="6" t="n">
        <v>392</v>
      </c>
      <c r="J112" s="6" t="n">
        <v>682</v>
      </c>
      <c r="K112" s="6" t="n">
        <v>49</v>
      </c>
      <c r="L112" s="6" t="n">
        <v>161</v>
      </c>
    </row>
    <row r="113" customFormat="false" ht="15" hidden="false" customHeight="true" outlineLevel="0" collapsed="false">
      <c r="A113" s="3" t="n">
        <v>2022</v>
      </c>
      <c r="B113" s="4" t="s">
        <v>30</v>
      </c>
      <c r="C113" s="4" t="s">
        <v>31</v>
      </c>
      <c r="D113" s="5" t="n">
        <f aca="false">I113/H113</f>
        <v>0.0622095070030258</v>
      </c>
      <c r="E113" s="5" t="n">
        <f aca="false">J113/H113</f>
        <v>0.0871779789040253</v>
      </c>
      <c r="F113" s="5" t="n">
        <f aca="false">IF(K113="","",K113/H113)</f>
        <v>0.00131459918093787</v>
      </c>
      <c r="G113" s="5" t="n">
        <f aca="false">L113/H113</f>
        <v>0.00845799744210193</v>
      </c>
      <c r="H113" s="6" t="n">
        <v>224403</v>
      </c>
      <c r="I113" s="6" t="n">
        <v>13960</v>
      </c>
      <c r="J113" s="6" t="n">
        <v>19563</v>
      </c>
      <c r="K113" s="6" t="n">
        <v>295</v>
      </c>
      <c r="L113" s="6" t="n">
        <v>1898</v>
      </c>
    </row>
    <row r="114" customFormat="false" ht="15" hidden="false" customHeight="true" outlineLevel="0" collapsed="false">
      <c r="A114" s="3" t="n">
        <v>2022</v>
      </c>
      <c r="B114" s="4" t="s">
        <v>32</v>
      </c>
      <c r="C114" s="4" t="s">
        <v>33</v>
      </c>
      <c r="D114" s="5" t="n">
        <f aca="false">I114/H114</f>
        <v>0.0665096695925212</v>
      </c>
      <c r="E114" s="5" t="n">
        <f aca="false">J114/H114</f>
        <v>0.0923903993910417</v>
      </c>
      <c r="F114" s="5" t="n">
        <f aca="false">IF(K114="","",K114/H114)</f>
        <v>0.00167304962851955</v>
      </c>
      <c r="G114" s="5" t="n">
        <f aca="false">L114/H114</f>
        <v>0.0118857885931318</v>
      </c>
      <c r="H114" s="6" t="n">
        <v>126117</v>
      </c>
      <c r="I114" s="6" t="n">
        <v>8388</v>
      </c>
      <c r="J114" s="6" t="n">
        <v>11652</v>
      </c>
      <c r="K114" s="6" t="n">
        <v>211</v>
      </c>
      <c r="L114" s="6" t="n">
        <v>1499</v>
      </c>
    </row>
    <row r="115" customFormat="false" ht="15" hidden="false" customHeight="true" outlineLevel="0" collapsed="false">
      <c r="A115" s="3" t="n">
        <v>2022</v>
      </c>
      <c r="B115" s="4" t="s">
        <v>34</v>
      </c>
      <c r="C115" s="4" t="s">
        <v>35</v>
      </c>
      <c r="D115" s="5" t="n">
        <f aca="false">I115/H115</f>
        <v>0.083596316094545</v>
      </c>
      <c r="E115" s="5" t="n">
        <f aca="false">J115/H115</f>
        <v>0.0654344045855606</v>
      </c>
      <c r="F115" s="5" t="n">
        <f aca="false">IF(K115="","",K115/H115)</f>
        <v>0.0697494686674825</v>
      </c>
      <c r="G115" s="5" t="n">
        <f aca="false">L115/H115</f>
        <v>0.0113994976492561</v>
      </c>
      <c r="H115" s="6" t="n">
        <v>15527</v>
      </c>
      <c r="I115" s="6" t="n">
        <v>1298</v>
      </c>
      <c r="J115" s="6" t="n">
        <v>1016</v>
      </c>
      <c r="K115" s="6" t="n">
        <v>1083</v>
      </c>
      <c r="L115" s="6" t="n">
        <v>177</v>
      </c>
    </row>
    <row r="116" customFormat="false" ht="15" hidden="false" customHeight="true" outlineLevel="0" collapsed="false">
      <c r="A116" s="3" t="n">
        <v>2022</v>
      </c>
      <c r="B116" s="4" t="s">
        <v>36</v>
      </c>
      <c r="C116" s="4" t="s">
        <v>37</v>
      </c>
      <c r="D116" s="5" t="n">
        <f aca="false">I116/H116</f>
        <v>0.0666964684845776</v>
      </c>
      <c r="E116" s="5" t="n">
        <f aca="false">J116/H116</f>
        <v>0.0879302637460885</v>
      </c>
      <c r="F116" s="5" t="n">
        <f aca="false">IF(K116="","",K116/H116)</f>
        <v>0.000804649083594099</v>
      </c>
      <c r="G116" s="5" t="n">
        <f aca="false">L116/H116</f>
        <v>0.0156459544032186</v>
      </c>
      <c r="H116" s="6" t="n">
        <v>22370</v>
      </c>
      <c r="I116" s="6" t="n">
        <v>1492</v>
      </c>
      <c r="J116" s="6" t="n">
        <v>1967</v>
      </c>
      <c r="K116" s="6" t="n">
        <v>18</v>
      </c>
      <c r="L116" s="6" t="n">
        <v>350</v>
      </c>
    </row>
    <row r="117" customFormat="false" ht="15" hidden="false" customHeight="true" outlineLevel="0" collapsed="false">
      <c r="A117" s="3" t="n">
        <v>2022</v>
      </c>
      <c r="B117" s="4" t="s">
        <v>38</v>
      </c>
      <c r="C117" s="4" t="s">
        <v>39</v>
      </c>
      <c r="D117" s="5" t="n">
        <f aca="false">I117/H117</f>
        <v>0.0962103442095338</v>
      </c>
      <c r="E117" s="5" t="n">
        <f aca="false">J117/H117</f>
        <v>0.109271136117454</v>
      </c>
      <c r="F117" s="5" t="n">
        <f aca="false">IF(K117="","",K117/H117)</f>
        <v>0.00094293306733789</v>
      </c>
      <c r="G117" s="5" t="n">
        <f aca="false">L117/H117</f>
        <v>0.0176585647156005</v>
      </c>
      <c r="H117" s="6" t="n">
        <v>128323</v>
      </c>
      <c r="I117" s="6" t="n">
        <v>12346</v>
      </c>
      <c r="J117" s="6" t="n">
        <v>14022</v>
      </c>
      <c r="K117" s="6" t="n">
        <v>121</v>
      </c>
      <c r="L117" s="6" t="n">
        <v>2266</v>
      </c>
    </row>
    <row r="118" customFormat="false" ht="15" hidden="false" customHeight="true" outlineLevel="0" collapsed="false">
      <c r="A118" s="3" t="n">
        <v>2022</v>
      </c>
      <c r="B118" s="4" t="s">
        <v>40</v>
      </c>
      <c r="C118" s="4" t="s">
        <v>41</v>
      </c>
      <c r="D118" s="5" t="n">
        <f aca="false">I118/H118</f>
        <v>0.0784922060467512</v>
      </c>
      <c r="E118" s="5" t="n">
        <f aca="false">J118/H118</f>
        <v>0.105246630575409</v>
      </c>
      <c r="F118" s="5" t="n">
        <f aca="false">IF(K118="","",K118/H118)</f>
        <v>0.0014319269466042</v>
      </c>
      <c r="G118" s="5" t="n">
        <f aca="false">L118/H118</f>
        <v>0.0140806149749413</v>
      </c>
      <c r="H118" s="6" t="n">
        <v>79613</v>
      </c>
      <c r="I118" s="6" t="n">
        <v>6249</v>
      </c>
      <c r="J118" s="6" t="n">
        <v>8379</v>
      </c>
      <c r="K118" s="6" t="n">
        <v>114</v>
      </c>
      <c r="L118" s="6" t="n">
        <v>1121</v>
      </c>
    </row>
    <row r="119" customFormat="false" ht="15" hidden="false" customHeight="true" outlineLevel="0" collapsed="false">
      <c r="A119" s="3" t="n">
        <v>2022</v>
      </c>
      <c r="B119" s="4" t="s">
        <v>42</v>
      </c>
      <c r="C119" s="4" t="s">
        <v>43</v>
      </c>
      <c r="D119" s="5" t="n">
        <f aca="false">I119/H119</f>
        <v>0.0945671838166767</v>
      </c>
      <c r="E119" s="5" t="n">
        <f aca="false">J119/H119</f>
        <v>0.101995504632421</v>
      </c>
      <c r="F119" s="5" t="n">
        <f aca="false">IF(K119="","",K119/H119)</f>
        <v>0.00128830656214023</v>
      </c>
      <c r="G119" s="5" t="n">
        <f aca="false">L119/H119</f>
        <v>0.0208596019955046</v>
      </c>
      <c r="H119" s="6" t="n">
        <v>36482</v>
      </c>
      <c r="I119" s="6" t="n">
        <v>3450</v>
      </c>
      <c r="J119" s="6" t="n">
        <v>3721</v>
      </c>
      <c r="K119" s="6" t="n">
        <v>47</v>
      </c>
      <c r="L119" s="6" t="n">
        <v>761</v>
      </c>
    </row>
    <row r="120" customFormat="false" ht="15" hidden="false" customHeight="true" outlineLevel="0" collapsed="false">
      <c r="A120" s="3" t="n">
        <v>2022</v>
      </c>
      <c r="B120" s="4" t="s">
        <v>44</v>
      </c>
      <c r="C120" s="4" t="s">
        <v>45</v>
      </c>
      <c r="D120" s="5" t="n">
        <f aca="false">I120/H120</f>
        <v>0.0873840067486983</v>
      </c>
      <c r="E120" s="5" t="n">
        <f aca="false">J120/H120</f>
        <v>0.0963143962533089</v>
      </c>
      <c r="F120" s="5" t="n">
        <f aca="false">IF(K120="","",K120/H120)</f>
        <v>0.00279256479623004</v>
      </c>
      <c r="G120" s="5" t="n">
        <f aca="false">L120/H120</f>
        <v>0.0116938650842133</v>
      </c>
      <c r="H120" s="6" t="n">
        <v>34377</v>
      </c>
      <c r="I120" s="6" t="n">
        <v>3004</v>
      </c>
      <c r="J120" s="6" t="n">
        <v>3311</v>
      </c>
      <c r="K120" s="6" t="n">
        <v>96</v>
      </c>
      <c r="L120" s="6" t="n">
        <v>402</v>
      </c>
    </row>
    <row r="121" customFormat="false" ht="15" hidden="false" customHeight="true" outlineLevel="0" collapsed="false">
      <c r="A121" s="3" t="n">
        <v>2022</v>
      </c>
      <c r="B121" s="4" t="s">
        <v>46</v>
      </c>
      <c r="C121" s="4" t="s">
        <v>47</v>
      </c>
      <c r="D121" s="5" t="n">
        <f aca="false">I121/H121</f>
        <v>0.083140480061203</v>
      </c>
      <c r="E121" s="5" t="n">
        <f aca="false">J121/H121</f>
        <v>0.110605336138472</v>
      </c>
      <c r="F121" s="5" t="n">
        <f aca="false">IF(K121="","",K121/H121)</f>
        <v>0.00156832743616716</v>
      </c>
      <c r="G121" s="5" t="n">
        <f aca="false">L121/H121</f>
        <v>0.014822606866214</v>
      </c>
      <c r="H121" s="6" t="n">
        <v>52285</v>
      </c>
      <c r="I121" s="6" t="n">
        <v>4347</v>
      </c>
      <c r="J121" s="6" t="n">
        <v>5783</v>
      </c>
      <c r="K121" s="6" t="n">
        <v>82</v>
      </c>
      <c r="L121" s="6" t="n">
        <v>775</v>
      </c>
    </row>
    <row r="122" customFormat="false" ht="15" hidden="false" customHeight="true" outlineLevel="0" collapsed="false">
      <c r="A122" s="3" t="n">
        <v>2022</v>
      </c>
      <c r="B122" s="4" t="s">
        <v>48</v>
      </c>
      <c r="C122" s="4" t="s">
        <v>49</v>
      </c>
      <c r="D122" s="5" t="n">
        <f aca="false">I122/H122</f>
        <v>0.0752116767633826</v>
      </c>
      <c r="E122" s="5" t="n">
        <f aca="false">J122/H122</f>
        <v>0.13940553370886</v>
      </c>
      <c r="F122" s="5" t="n">
        <f aca="false">IF(K122="","",K122/H122)</f>
        <v>0.00224961915896128</v>
      </c>
      <c r="G122" s="5" t="n">
        <f aca="false">L122/H122</f>
        <v>0.0110178198179048</v>
      </c>
      <c r="H122" s="6" t="n">
        <v>56454</v>
      </c>
      <c r="I122" s="6" t="n">
        <v>4246</v>
      </c>
      <c r="J122" s="6" t="n">
        <v>7870</v>
      </c>
      <c r="K122" s="6" t="n">
        <v>127</v>
      </c>
      <c r="L122" s="6" t="n">
        <v>622</v>
      </c>
    </row>
    <row r="123" customFormat="false" ht="15" hidden="false" customHeight="true" outlineLevel="0" collapsed="false">
      <c r="A123" s="3" t="n">
        <v>2022</v>
      </c>
      <c r="B123" s="4" t="s">
        <v>50</v>
      </c>
      <c r="C123" s="4" t="s">
        <v>51</v>
      </c>
      <c r="D123" s="5" t="n">
        <f aca="false">I123/H123</f>
        <v>0.0988892572944297</v>
      </c>
      <c r="E123" s="5" t="n">
        <f aca="false">J123/H123</f>
        <v>0.105437665782493</v>
      </c>
      <c r="F123" s="5" t="n">
        <f aca="false">IF(K123="","",K123/H123)</f>
        <v>0</v>
      </c>
      <c r="G123" s="5" t="n">
        <f aca="false">L123/H123</f>
        <v>0.0271054376657825</v>
      </c>
      <c r="H123" s="6" t="n">
        <v>12064</v>
      </c>
      <c r="I123" s="6" t="n">
        <v>1193</v>
      </c>
      <c r="J123" s="6" t="n">
        <v>1272</v>
      </c>
      <c r="K123" s="6" t="n">
        <v>0</v>
      </c>
      <c r="L123" s="6" t="n">
        <v>327</v>
      </c>
    </row>
    <row r="124" customFormat="false" ht="15" hidden="false" customHeight="true" outlineLevel="0" collapsed="false">
      <c r="A124" s="3" t="n">
        <v>2022</v>
      </c>
      <c r="B124" s="4" t="s">
        <v>52</v>
      </c>
      <c r="C124" s="4" t="s">
        <v>53</v>
      </c>
      <c r="D124" s="5" t="n">
        <f aca="false">I124/H124</f>
        <v>0.0904661479165152</v>
      </c>
      <c r="E124" s="5" t="n">
        <f aca="false">J124/H124</f>
        <v>0.0988873536470075</v>
      </c>
      <c r="F124" s="5" t="n">
        <f aca="false">IF(K124="","",K124/H124)</f>
        <v>0.00267616900589048</v>
      </c>
      <c r="G124" s="5" t="n">
        <f aca="false">L124/H124</f>
        <v>0.0152716166097011</v>
      </c>
      <c r="H124" s="6" t="n">
        <v>68755</v>
      </c>
      <c r="I124" s="6" t="n">
        <v>6220</v>
      </c>
      <c r="J124" s="6" t="n">
        <v>6799</v>
      </c>
      <c r="K124" s="6" t="n">
        <v>184</v>
      </c>
      <c r="L124" s="6" t="n">
        <v>1050</v>
      </c>
    </row>
    <row r="125" customFormat="false" ht="15" hidden="false" customHeight="true" outlineLevel="0" collapsed="false">
      <c r="A125" s="3" t="n">
        <v>2022</v>
      </c>
      <c r="B125" s="4" t="s">
        <v>54</v>
      </c>
      <c r="C125" s="4" t="s">
        <v>55</v>
      </c>
      <c r="D125" s="5" t="n">
        <f aca="false">I125/H125</f>
        <v>0.0825324135517086</v>
      </c>
      <c r="E125" s="5" t="n">
        <f aca="false">J125/H125</f>
        <v>0.0757798941181618</v>
      </c>
      <c r="F125" s="5" t="n">
        <f aca="false">IF(K125="","",K125/H125)</f>
        <v>0.00215847273469745</v>
      </c>
      <c r="G125" s="5" t="n">
        <f aca="false">L125/H125</f>
        <v>0.0198929514197792</v>
      </c>
      <c r="H125" s="6" t="n">
        <v>68567</v>
      </c>
      <c r="I125" s="6" t="n">
        <v>5659</v>
      </c>
      <c r="J125" s="6" t="n">
        <v>5196</v>
      </c>
      <c r="K125" s="6" t="n">
        <v>148</v>
      </c>
      <c r="L125" s="6" t="n">
        <v>1364</v>
      </c>
    </row>
    <row r="126" customFormat="false" ht="15" hidden="false" customHeight="true" outlineLevel="0" collapsed="false">
      <c r="A126" s="3" t="n">
        <v>2022</v>
      </c>
      <c r="B126" s="4" t="s">
        <v>56</v>
      </c>
      <c r="C126" s="4" t="s">
        <v>57</v>
      </c>
      <c r="D126" s="5" t="n">
        <f aca="false">I126/H126</f>
        <v>0.0728801133864425</v>
      </c>
      <c r="E126" s="5" t="n">
        <f aca="false">J126/H126</f>
        <v>0.0952152876203509</v>
      </c>
      <c r="F126" s="5" t="n">
        <f aca="false">IF(K126="","",K126/H126)</f>
        <v>0.00297150676897512</v>
      </c>
      <c r="G126" s="5" t="n">
        <f aca="false">L126/H126</f>
        <v>0.0163432872293632</v>
      </c>
      <c r="H126" s="6" t="n">
        <v>102305</v>
      </c>
      <c r="I126" s="6" t="n">
        <v>7456</v>
      </c>
      <c r="J126" s="6" t="n">
        <v>9741</v>
      </c>
      <c r="K126" s="6" t="n">
        <v>304</v>
      </c>
      <c r="L126" s="6" t="n">
        <v>1672</v>
      </c>
    </row>
    <row r="127" customFormat="false" ht="15" hidden="false" customHeight="true" outlineLevel="0" collapsed="false">
      <c r="A127" s="3" t="n">
        <v>2022</v>
      </c>
      <c r="B127" s="4" t="s">
        <v>58</v>
      </c>
      <c r="C127" s="4" t="s">
        <v>59</v>
      </c>
      <c r="D127" s="5" t="n">
        <f aca="false">I127/H127</f>
        <v>0.094098709092614</v>
      </c>
      <c r="E127" s="5" t="n">
        <f aca="false">J127/H127</f>
        <v>0.119979370487294</v>
      </c>
      <c r="F127" s="5" t="n">
        <f aca="false">IF(K127="","",K127/H127)</f>
        <v>0.000812677773262901</v>
      </c>
      <c r="G127" s="5" t="n">
        <f aca="false">L127/H127</f>
        <v>0.020566999031038</v>
      </c>
      <c r="H127" s="6" t="n">
        <v>63986</v>
      </c>
      <c r="I127" s="6" t="n">
        <v>6021</v>
      </c>
      <c r="J127" s="6" t="n">
        <v>7677</v>
      </c>
      <c r="K127" s="6" t="n">
        <v>52</v>
      </c>
      <c r="L127" s="6" t="n">
        <v>1316</v>
      </c>
    </row>
    <row r="128" customFormat="false" ht="15" hidden="false" customHeight="true" outlineLevel="0" collapsed="false">
      <c r="A128" s="3" t="n">
        <v>2022</v>
      </c>
      <c r="B128" s="4" t="s">
        <v>60</v>
      </c>
      <c r="C128" s="4" t="s">
        <v>61</v>
      </c>
      <c r="D128" s="5" t="n">
        <f aca="false">I128/H128</f>
        <v>0.055273336027247</v>
      </c>
      <c r="E128" s="5" t="n">
        <f aca="false">J128/H128</f>
        <v>0.100704266004734</v>
      </c>
      <c r="F128" s="5" t="n">
        <f aca="false">IF(K128="","",K128/H128)</f>
        <v>0.0019338451769324</v>
      </c>
      <c r="G128" s="5" t="n">
        <f aca="false">L128/H128</f>
        <v>0.0111123939271489</v>
      </c>
      <c r="H128" s="6" t="n">
        <v>34646</v>
      </c>
      <c r="I128" s="6" t="n">
        <v>1915</v>
      </c>
      <c r="J128" s="6" t="n">
        <v>3489</v>
      </c>
      <c r="K128" s="6" t="n">
        <v>67</v>
      </c>
      <c r="L128" s="6" t="n">
        <v>385</v>
      </c>
    </row>
    <row r="129" customFormat="false" ht="15" hidden="false" customHeight="true" outlineLevel="0" collapsed="false">
      <c r="A129" s="3" t="n">
        <v>2022</v>
      </c>
      <c r="B129" s="4" t="s">
        <v>62</v>
      </c>
      <c r="C129" s="4" t="s">
        <v>63</v>
      </c>
      <c r="D129" s="5" t="n">
        <f aca="false">I129/H129</f>
        <v>0.083445686368315</v>
      </c>
      <c r="E129" s="5" t="n">
        <f aca="false">J129/H129</f>
        <v>0.112295046318445</v>
      </c>
      <c r="F129" s="5" t="n">
        <f aca="false">IF(K129="","",K129/H129)</f>
        <v>0.00711810840980588</v>
      </c>
      <c r="G129" s="5" t="n">
        <f aca="false">L129/H129</f>
        <v>0.014787109120167</v>
      </c>
      <c r="H129" s="6" t="n">
        <v>68979</v>
      </c>
      <c r="I129" s="6" t="n">
        <v>5756</v>
      </c>
      <c r="J129" s="6" t="n">
        <v>7746</v>
      </c>
      <c r="K129" s="6" t="n">
        <v>491</v>
      </c>
      <c r="L129" s="6" t="n">
        <v>1020</v>
      </c>
    </row>
    <row r="130" customFormat="false" ht="15" hidden="false" customHeight="true" outlineLevel="0" collapsed="false">
      <c r="A130" s="3" t="n">
        <v>2022</v>
      </c>
      <c r="B130" s="4" t="s">
        <v>64</v>
      </c>
      <c r="C130" s="4" t="s">
        <v>65</v>
      </c>
      <c r="D130" s="5" t="n">
        <f aca="false">I130/H130</f>
        <v>0.0702194357366771</v>
      </c>
      <c r="E130" s="5" t="n">
        <f aca="false">J130/H130</f>
        <v>0.0961038961038961</v>
      </c>
      <c r="F130" s="5" t="n">
        <f aca="false">IF(K130="","",K130/H130)</f>
        <v>0.00349305866547246</v>
      </c>
      <c r="G130" s="5" t="n">
        <f aca="false">L130/H130</f>
        <v>0.0172861621137483</v>
      </c>
      <c r="H130" s="6" t="n">
        <v>11165</v>
      </c>
      <c r="I130" s="6" t="n">
        <v>784</v>
      </c>
      <c r="J130" s="6" t="n">
        <v>1073</v>
      </c>
      <c r="K130" s="6" t="n">
        <v>39</v>
      </c>
      <c r="L130" s="6" t="n">
        <v>193</v>
      </c>
    </row>
    <row r="131" customFormat="false" ht="15" hidden="false" customHeight="true" outlineLevel="0" collapsed="false">
      <c r="A131" s="3" t="n">
        <v>2022</v>
      </c>
      <c r="B131" s="4" t="s">
        <v>66</v>
      </c>
      <c r="C131" s="4" t="s">
        <v>67</v>
      </c>
      <c r="D131" s="5" t="n">
        <f aca="false">I131/H131</f>
        <v>0.0884748272458045</v>
      </c>
      <c r="E131" s="5" t="n">
        <f aca="false">J131/H131</f>
        <v>0.0991691345837447</v>
      </c>
      <c r="F131" s="5" t="n">
        <f aca="false">IF(K131="","",K131/H131)</f>
        <v>0.00180980585718987</v>
      </c>
      <c r="G131" s="5" t="n">
        <f aca="false">L131/H131</f>
        <v>0.0205659756498848</v>
      </c>
      <c r="H131" s="6" t="n">
        <v>24312</v>
      </c>
      <c r="I131" s="6" t="n">
        <v>2151</v>
      </c>
      <c r="J131" s="6" t="n">
        <v>2411</v>
      </c>
      <c r="K131" s="6" t="n">
        <v>44</v>
      </c>
      <c r="L131" s="6" t="n">
        <v>500</v>
      </c>
    </row>
    <row r="132" customFormat="false" ht="15" hidden="false" customHeight="true" outlineLevel="0" collapsed="false">
      <c r="A132" s="3" t="n">
        <v>2022</v>
      </c>
      <c r="B132" s="4" t="s">
        <v>68</v>
      </c>
      <c r="C132" s="4" t="s">
        <v>69</v>
      </c>
      <c r="D132" s="5" t="n">
        <f aca="false">I132/H132</f>
        <v>0.084290494709234</v>
      </c>
      <c r="E132" s="5" t="n">
        <f aca="false">J132/H132</f>
        <v>0.0829640348497181</v>
      </c>
      <c r="F132" s="5" t="n">
        <f aca="false">IF(K132="","",K132/H132)</f>
        <v>0.00937565946157789</v>
      </c>
      <c r="G132" s="5" t="n">
        <f aca="false">L132/H132</f>
        <v>0.0118175514756866</v>
      </c>
      <c r="H132" s="6" t="n">
        <v>33171</v>
      </c>
      <c r="I132" s="6" t="n">
        <v>2796</v>
      </c>
      <c r="J132" s="6" t="n">
        <v>2752</v>
      </c>
      <c r="K132" s="6" t="n">
        <v>311</v>
      </c>
      <c r="L132" s="6" t="n">
        <v>392</v>
      </c>
    </row>
    <row r="133" customFormat="false" ht="15" hidden="false" customHeight="true" outlineLevel="0" collapsed="false">
      <c r="A133" s="3" t="n">
        <v>2022</v>
      </c>
      <c r="B133" s="4" t="s">
        <v>70</v>
      </c>
      <c r="C133" s="4" t="s">
        <v>71</v>
      </c>
      <c r="D133" s="5" t="n">
        <f aca="false">I133/H133</f>
        <v>0.0865344727453746</v>
      </c>
      <c r="E133" s="5" t="n">
        <f aca="false">J133/H133</f>
        <v>0.124699245001245</v>
      </c>
      <c r="F133" s="5" t="n">
        <f aca="false">IF(K133="","",K133/H133)</f>
        <v>0</v>
      </c>
      <c r="G133" s="5" t="n">
        <f aca="false">L133/H133</f>
        <v>0.0259686385132332</v>
      </c>
      <c r="H133" s="6" t="n">
        <v>12053</v>
      </c>
      <c r="I133" s="6" t="n">
        <v>1043</v>
      </c>
      <c r="J133" s="6" t="n">
        <v>1503</v>
      </c>
      <c r="K133" s="6" t="n">
        <v>0</v>
      </c>
      <c r="L133" s="6" t="n">
        <v>313</v>
      </c>
    </row>
    <row r="134" customFormat="false" ht="15" hidden="false" customHeight="true" outlineLevel="0" collapsed="false">
      <c r="A134" s="3" t="n">
        <v>2022</v>
      </c>
      <c r="B134" s="4" t="s">
        <v>72</v>
      </c>
      <c r="C134" s="4" t="s">
        <v>73</v>
      </c>
      <c r="D134" s="5" t="n">
        <f aca="false">I134/H134</f>
        <v>0.0875490920402846</v>
      </c>
      <c r="E134" s="5" t="n">
        <f aca="false">J134/H134</f>
        <v>0.0678442275537582</v>
      </c>
      <c r="F134" s="5" t="n">
        <f aca="false">IF(K134="","",K134/H134)</f>
        <v>0.000699926118909671</v>
      </c>
      <c r="G134" s="5" t="n">
        <f aca="false">L134/H134</f>
        <v>0.0187035812886418</v>
      </c>
      <c r="H134" s="6" t="n">
        <v>102868</v>
      </c>
      <c r="I134" s="6" t="n">
        <v>9006</v>
      </c>
      <c r="J134" s="6" t="n">
        <v>6979</v>
      </c>
      <c r="K134" s="6" t="n">
        <v>72</v>
      </c>
      <c r="L134" s="6" t="n">
        <v>1924</v>
      </c>
    </row>
    <row r="135" customFormat="false" ht="15" hidden="false" customHeight="true" outlineLevel="0" collapsed="false">
      <c r="A135" s="3" t="n">
        <v>2022</v>
      </c>
      <c r="B135" s="4" t="s">
        <v>74</v>
      </c>
      <c r="C135" s="4" t="s">
        <v>75</v>
      </c>
      <c r="D135" s="5" t="n">
        <f aca="false">I135/H135</f>
        <v>0.0741769690234755</v>
      </c>
      <c r="E135" s="5" t="n">
        <f aca="false">J135/H135</f>
        <v>0.0892253553734315</v>
      </c>
      <c r="F135" s="5" t="n">
        <f aca="false">IF(K135="","",K135/H135)</f>
        <v>0.00439875908691022</v>
      </c>
      <c r="G135" s="5" t="n">
        <f aca="false">L135/H135</f>
        <v>0.0138445154419595</v>
      </c>
      <c r="H135" s="6" t="n">
        <v>21597</v>
      </c>
      <c r="I135" s="6" t="n">
        <v>1602</v>
      </c>
      <c r="J135" s="6" t="n">
        <v>1927</v>
      </c>
      <c r="K135" s="6" t="n">
        <v>95</v>
      </c>
      <c r="L135" s="6" t="n">
        <v>299</v>
      </c>
    </row>
    <row r="136" customFormat="false" ht="15" hidden="false" customHeight="true" outlineLevel="0" collapsed="false">
      <c r="A136" s="3" t="n">
        <v>2022</v>
      </c>
      <c r="B136" s="4" t="s">
        <v>76</v>
      </c>
      <c r="C136" s="4" t="s">
        <v>77</v>
      </c>
      <c r="D136" s="5" t="n">
        <f aca="false">I136/H136</f>
        <v>0.0889794818233887</v>
      </c>
      <c r="E136" s="5" t="n">
        <f aca="false">J136/H136</f>
        <v>0.0800608373803347</v>
      </c>
      <c r="F136" s="5" t="n">
        <f aca="false">IF(K136="","",K136/H136)</f>
        <v>0.00291672883566688</v>
      </c>
      <c r="G136" s="5" t="n">
        <f aca="false">L136/H136</f>
        <v>0.0172885973229627</v>
      </c>
      <c r="H136" s="6" t="n">
        <v>207767</v>
      </c>
      <c r="I136" s="6" t="n">
        <v>18487</v>
      </c>
      <c r="J136" s="6" t="n">
        <v>16634</v>
      </c>
      <c r="K136" s="6" t="n">
        <v>606</v>
      </c>
      <c r="L136" s="6" t="n">
        <v>3592</v>
      </c>
    </row>
    <row r="137" customFormat="false" ht="15" hidden="false" customHeight="true" outlineLevel="0" collapsed="false">
      <c r="A137" s="3" t="n">
        <v>2022</v>
      </c>
      <c r="B137" s="4" t="s">
        <v>78</v>
      </c>
      <c r="C137" s="4" t="s">
        <v>79</v>
      </c>
      <c r="D137" s="5" t="n">
        <f aca="false">I137/H137</f>
        <v>0.086273283749095</v>
      </c>
      <c r="E137" s="5" t="n">
        <f aca="false">J137/H137</f>
        <v>0.108265319555058</v>
      </c>
      <c r="F137" s="5" t="n">
        <f aca="false">IF(K137="","",K137/H137)</f>
        <v>0.00299480023695123</v>
      </c>
      <c r="G137" s="5" t="n">
        <f aca="false">L137/H137</f>
        <v>0.0142993483841243</v>
      </c>
      <c r="H137" s="6" t="n">
        <v>121544</v>
      </c>
      <c r="I137" s="6" t="n">
        <v>10486</v>
      </c>
      <c r="J137" s="6" t="n">
        <v>13159</v>
      </c>
      <c r="K137" s="6" t="n">
        <v>364</v>
      </c>
      <c r="L137" s="6" t="n">
        <v>1738</v>
      </c>
    </row>
    <row r="138" customFormat="false" ht="15" hidden="false" customHeight="true" outlineLevel="0" collapsed="false">
      <c r="A138" s="3" t="n">
        <v>2022</v>
      </c>
      <c r="B138" s="4" t="s">
        <v>80</v>
      </c>
      <c r="C138" s="4" t="s">
        <v>81</v>
      </c>
      <c r="D138" s="5" t="n">
        <f aca="false">I138/H138</f>
        <v>0.0724531462674066</v>
      </c>
      <c r="E138" s="5" t="n">
        <f aca="false">J138/H138</f>
        <v>0.107423306460057</v>
      </c>
      <c r="F138" s="5" t="n">
        <f aca="false">IF(K138="","",K138/H138)</f>
        <v>0.00167521725473772</v>
      </c>
      <c r="G138" s="5" t="n">
        <f aca="false">L138/H138</f>
        <v>0.0226154329389593</v>
      </c>
      <c r="H138" s="6" t="n">
        <v>9551</v>
      </c>
      <c r="I138" s="6" t="n">
        <v>692</v>
      </c>
      <c r="J138" s="6" t="n">
        <v>1026</v>
      </c>
      <c r="K138" s="6" t="n">
        <v>16</v>
      </c>
      <c r="L138" s="6" t="n">
        <v>216</v>
      </c>
    </row>
    <row r="139" customFormat="false" ht="15" hidden="false" customHeight="true" outlineLevel="0" collapsed="false">
      <c r="A139" s="3" t="n">
        <v>2022</v>
      </c>
      <c r="B139" s="4" t="s">
        <v>82</v>
      </c>
      <c r="C139" s="4" t="s">
        <v>83</v>
      </c>
      <c r="D139" s="5" t="n">
        <f aca="false">I139/H139</f>
        <v>0.0899675567756426</v>
      </c>
      <c r="E139" s="5" t="n">
        <f aca="false">J139/H139</f>
        <v>0.124968804591964</v>
      </c>
      <c r="F139" s="5" t="n">
        <f aca="false">IF(K139="","",K139/H139)</f>
        <v>0.00226946593461443</v>
      </c>
      <c r="G139" s="5" t="n">
        <f aca="false">L139/H139</f>
        <v>0.0209711130521587</v>
      </c>
      <c r="H139" s="6" t="n">
        <v>128224</v>
      </c>
      <c r="I139" s="6" t="n">
        <v>11536</v>
      </c>
      <c r="J139" s="6" t="n">
        <v>16024</v>
      </c>
      <c r="K139" s="6" t="n">
        <v>291</v>
      </c>
      <c r="L139" s="6" t="n">
        <v>2689</v>
      </c>
    </row>
    <row r="140" customFormat="false" ht="15" hidden="false" customHeight="true" outlineLevel="0" collapsed="false">
      <c r="A140" s="3" t="n">
        <v>2022</v>
      </c>
      <c r="B140" s="4" t="s">
        <v>84</v>
      </c>
      <c r="C140" s="4" t="s">
        <v>85</v>
      </c>
      <c r="D140" s="5" t="n">
        <f aca="false">I140/H140</f>
        <v>0.066835013350444</v>
      </c>
      <c r="E140" s="5" t="n">
        <f aca="false">J140/H140</f>
        <v>0.0882164220810134</v>
      </c>
      <c r="F140" s="5" t="n">
        <f aca="false">IF(K140="","",K140/H140)</f>
        <v>0.00463643325812928</v>
      </c>
      <c r="G140" s="5" t="n">
        <f aca="false">L140/H140</f>
        <v>0.0163931033055285</v>
      </c>
      <c r="H140" s="6" t="n">
        <v>48313</v>
      </c>
      <c r="I140" s="6" t="n">
        <v>3229</v>
      </c>
      <c r="J140" s="6" t="n">
        <v>4262</v>
      </c>
      <c r="K140" s="6" t="n">
        <v>224</v>
      </c>
      <c r="L140" s="6" t="n">
        <v>792</v>
      </c>
    </row>
    <row r="141" customFormat="false" ht="15" hidden="false" customHeight="true" outlineLevel="0" collapsed="false">
      <c r="A141" s="3" t="n">
        <v>2022</v>
      </c>
      <c r="B141" s="4" t="s">
        <v>86</v>
      </c>
      <c r="C141" s="4" t="s">
        <v>87</v>
      </c>
      <c r="D141" s="5" t="n">
        <f aca="false">I141/H141</f>
        <v>0.104760457044412</v>
      </c>
      <c r="E141" s="5" t="n">
        <f aca="false">J141/H141</f>
        <v>0.117909351169213</v>
      </c>
      <c r="F141" s="5" t="n">
        <f aca="false">IF(K141="","",K141/H141)</f>
        <v>0.00149476831091181</v>
      </c>
      <c r="G141" s="5" t="n">
        <f aca="false">L141/H141</f>
        <v>0.0209520914088825</v>
      </c>
      <c r="H141" s="6" t="n">
        <v>39471</v>
      </c>
      <c r="I141" s="6" t="n">
        <v>4135</v>
      </c>
      <c r="J141" s="6" t="n">
        <v>4654</v>
      </c>
      <c r="K141" s="6" t="n">
        <v>59</v>
      </c>
      <c r="L141" s="6" t="n">
        <v>827</v>
      </c>
    </row>
    <row r="142" customFormat="false" ht="15" hidden="false" customHeight="true" outlineLevel="0" collapsed="false">
      <c r="A142" s="3" t="n">
        <v>2022</v>
      </c>
      <c r="B142" s="4" t="s">
        <v>88</v>
      </c>
      <c r="C142" s="4" t="s">
        <v>89</v>
      </c>
      <c r="D142" s="5" t="n">
        <f aca="false">I142/H142</f>
        <v>0.0879968057005959</v>
      </c>
      <c r="E142" s="5" t="n">
        <f aca="false">J142/H142</f>
        <v>0.106325634252718</v>
      </c>
      <c r="F142" s="5" t="n">
        <f aca="false">IF(K142="","",K142/H142)</f>
        <v>0.00377019472940598</v>
      </c>
      <c r="G142" s="5" t="n">
        <f aca="false">L142/H142</f>
        <v>0.0143666687142945</v>
      </c>
      <c r="H142" s="6" t="n">
        <v>130232</v>
      </c>
      <c r="I142" s="6" t="n">
        <v>11460</v>
      </c>
      <c r="J142" s="6" t="n">
        <v>13847</v>
      </c>
      <c r="K142" s="6" t="n">
        <v>491</v>
      </c>
      <c r="L142" s="6" t="n">
        <v>1871</v>
      </c>
    </row>
    <row r="143" customFormat="false" ht="15" hidden="false" customHeight="true" outlineLevel="0" collapsed="false">
      <c r="A143" s="3" t="n">
        <v>2022</v>
      </c>
      <c r="B143" s="4" t="s">
        <v>90</v>
      </c>
      <c r="C143" s="4" t="s">
        <v>91</v>
      </c>
      <c r="D143" s="5" t="n">
        <f aca="false">I143/H143</f>
        <v>0.0825849277625927</v>
      </c>
      <c r="E143" s="5" t="n">
        <f aca="false">J143/H143</f>
        <v>0.107868020304569</v>
      </c>
      <c r="F143" s="5" t="n">
        <f aca="false">IF(K143="","",K143/H143)</f>
        <v>0</v>
      </c>
      <c r="G143" s="5" t="n">
        <f aca="false">L143/H143</f>
        <v>0.0209878953533776</v>
      </c>
      <c r="H143" s="6" t="n">
        <v>10244</v>
      </c>
      <c r="I143" s="6" t="n">
        <v>846</v>
      </c>
      <c r="J143" s="6" t="n">
        <v>1105</v>
      </c>
      <c r="K143" s="6" t="n">
        <v>0</v>
      </c>
      <c r="L143" s="6" t="n">
        <v>215</v>
      </c>
    </row>
    <row r="144" customFormat="false" ht="15" hidden="false" customHeight="true" outlineLevel="0" collapsed="false">
      <c r="A144" s="3" t="n">
        <v>2022</v>
      </c>
      <c r="B144" s="4" t="s">
        <v>92</v>
      </c>
      <c r="C144" s="4" t="s">
        <v>93</v>
      </c>
      <c r="D144" s="5" t="n">
        <f aca="false">I144/H144</f>
        <v>0.0775684605670594</v>
      </c>
      <c r="E144" s="5" t="n">
        <f aca="false">J144/H144</f>
        <v>0.100714446347328</v>
      </c>
      <c r="F144" s="5" t="n">
        <f aca="false">IF(K144="","",K144/H144)</f>
        <v>0.00207587316414967</v>
      </c>
      <c r="G144" s="5" t="n">
        <f aca="false">L144/H144</f>
        <v>0.0107945404535783</v>
      </c>
      <c r="H144" s="6" t="n">
        <v>57807</v>
      </c>
      <c r="I144" s="6" t="n">
        <v>4484</v>
      </c>
      <c r="J144" s="6" t="n">
        <v>5822</v>
      </c>
      <c r="K144" s="6" t="n">
        <v>120</v>
      </c>
      <c r="L144" s="6" t="n">
        <v>624</v>
      </c>
    </row>
    <row r="145" customFormat="false" ht="15" hidden="false" customHeight="true" outlineLevel="0" collapsed="false">
      <c r="A145" s="3" t="n">
        <v>2022</v>
      </c>
      <c r="B145" s="4" t="s">
        <v>94</v>
      </c>
      <c r="C145" s="4" t="s">
        <v>95</v>
      </c>
      <c r="D145" s="5" t="n">
        <f aca="false">I145/H145</f>
        <v>0.102172164119067</v>
      </c>
      <c r="E145" s="5" t="n">
        <f aca="false">J145/H145</f>
        <v>0.0798247966389559</v>
      </c>
      <c r="F145" s="5" t="n">
        <f aca="false">IF(K145="","",K145/H145)</f>
        <v>0.0131402520783052</v>
      </c>
      <c r="G145" s="5" t="n">
        <f aca="false">L145/H145</f>
        <v>0.01814606239385</v>
      </c>
      <c r="H145" s="6" t="n">
        <v>11187</v>
      </c>
      <c r="I145" s="6" t="n">
        <v>1143</v>
      </c>
      <c r="J145" s="6" t="n">
        <v>893</v>
      </c>
      <c r="K145" s="6" t="n">
        <v>147</v>
      </c>
      <c r="L145" s="6" t="n">
        <v>203</v>
      </c>
    </row>
    <row r="146" customFormat="false" ht="15" hidden="false" customHeight="true" outlineLevel="0" collapsed="false">
      <c r="A146" s="3" t="n">
        <v>2022</v>
      </c>
      <c r="B146" s="4" t="s">
        <v>96</v>
      </c>
      <c r="C146" s="4" t="s">
        <v>97</v>
      </c>
      <c r="D146" s="5" t="n">
        <f aca="false">I146/H146</f>
        <v>0.0741006407061141</v>
      </c>
      <c r="E146" s="5" t="n">
        <f aca="false">J146/H146</f>
        <v>0.0875834316073578</v>
      </c>
      <c r="F146" s="5" t="n">
        <f aca="false">IF(K146="","",K146/H146)</f>
        <v>0.00376885949448652</v>
      </c>
      <c r="G146" s="5" t="n">
        <f aca="false">L146/H146</f>
        <v>0.0146256063608622</v>
      </c>
      <c r="H146" s="6" t="n">
        <v>82253</v>
      </c>
      <c r="I146" s="6" t="n">
        <v>6095</v>
      </c>
      <c r="J146" s="6" t="n">
        <v>7204</v>
      </c>
      <c r="K146" s="6" t="n">
        <v>310</v>
      </c>
      <c r="L146" s="6" t="n">
        <v>1203</v>
      </c>
    </row>
    <row r="147" customFormat="false" ht="15" hidden="false" customHeight="true" outlineLevel="0" collapsed="false">
      <c r="A147" s="3" t="n">
        <v>2022</v>
      </c>
      <c r="B147" s="4" t="s">
        <v>98</v>
      </c>
      <c r="C147" s="4" t="s">
        <v>99</v>
      </c>
      <c r="D147" s="5" t="n">
        <f aca="false">I147/H147</f>
        <v>0.0656187778393579</v>
      </c>
      <c r="E147" s="5" t="n">
        <f aca="false">J147/H147</f>
        <v>0.08306135435269</v>
      </c>
      <c r="F147" s="5" t="n">
        <f aca="false">IF(K147="","",K147/H147)</f>
        <v>0.00105456000985282</v>
      </c>
      <c r="G147" s="5" t="n">
        <f aca="false">L147/H147</f>
        <v>0.00763337233409282</v>
      </c>
      <c r="H147" s="6" t="n">
        <v>389736</v>
      </c>
      <c r="I147" s="6" t="n">
        <v>25574</v>
      </c>
      <c r="J147" s="6" t="n">
        <v>32372</v>
      </c>
      <c r="K147" s="6" t="n">
        <v>411</v>
      </c>
      <c r="L147" s="6" t="n">
        <v>2975</v>
      </c>
    </row>
    <row r="148" customFormat="false" ht="15" hidden="false" customHeight="true" outlineLevel="0" collapsed="false">
      <c r="A148" s="3" t="n">
        <v>2022</v>
      </c>
      <c r="B148" s="4" t="s">
        <v>100</v>
      </c>
      <c r="C148" s="4" t="s">
        <v>101</v>
      </c>
      <c r="D148" s="5" t="n">
        <f aca="false">I148/H148</f>
        <v>0.0738183169074102</v>
      </c>
      <c r="E148" s="5" t="n">
        <f aca="false">J148/H148</f>
        <v>0.0822752999278862</v>
      </c>
      <c r="F148" s="5" t="n">
        <f aca="false">IF(K148="","",K148/H148)</f>
        <v>0.000437053386071109</v>
      </c>
      <c r="G148" s="5" t="n">
        <f aca="false">L148/H148</f>
        <v>0.0221804593431088</v>
      </c>
      <c r="H148" s="6" t="n">
        <v>45761</v>
      </c>
      <c r="I148" s="6" t="n">
        <v>3378</v>
      </c>
      <c r="J148" s="6" t="n">
        <v>3765</v>
      </c>
      <c r="K148" s="6" t="n">
        <v>20</v>
      </c>
      <c r="L148" s="6" t="n">
        <v>1015</v>
      </c>
    </row>
    <row r="149" customFormat="false" ht="15" hidden="false" customHeight="true" outlineLevel="0" collapsed="false">
      <c r="A149" s="3" t="n">
        <v>2022</v>
      </c>
      <c r="B149" s="4" t="s">
        <v>102</v>
      </c>
      <c r="C149" s="4" t="s">
        <v>103</v>
      </c>
      <c r="D149" s="5" t="n">
        <f aca="false">I149/H149</f>
        <v>0.0839939599849</v>
      </c>
      <c r="E149" s="5" t="n">
        <f aca="false">J149/H149</f>
        <v>0.116647791619479</v>
      </c>
      <c r="F149" s="5" t="n">
        <f aca="false">IF(K149="","",K149/H149)</f>
        <v>0</v>
      </c>
      <c r="G149" s="5" t="n">
        <f aca="false">L149/H149</f>
        <v>0.0205738014345036</v>
      </c>
      <c r="H149" s="6" t="n">
        <v>5298</v>
      </c>
      <c r="I149" s="6" t="n">
        <v>445</v>
      </c>
      <c r="J149" s="6" t="n">
        <v>618</v>
      </c>
      <c r="K149" s="6" t="n">
        <v>0</v>
      </c>
      <c r="L149" s="6" t="n">
        <v>109</v>
      </c>
    </row>
    <row r="150" customFormat="false" ht="15" hidden="false" customHeight="true" outlineLevel="0" collapsed="false">
      <c r="A150" s="3" t="n">
        <v>2022</v>
      </c>
      <c r="B150" s="4" t="s">
        <v>104</v>
      </c>
      <c r="C150" s="4" t="s">
        <v>105</v>
      </c>
      <c r="D150" s="5" t="n">
        <f aca="false">I150/H150</f>
        <v>0.0784693098507588</v>
      </c>
      <c r="E150" s="5" t="n">
        <f aca="false">J150/H150</f>
        <v>0.0965204932177333</v>
      </c>
      <c r="F150" s="5" t="n">
        <f aca="false">IF(K150="","",K150/H150)</f>
        <v>0.00239497160546765</v>
      </c>
      <c r="G150" s="5" t="n">
        <f aca="false">L150/H150</f>
        <v>0.00858633924929667</v>
      </c>
      <c r="H150" s="6" t="n">
        <v>95617</v>
      </c>
      <c r="I150" s="6" t="n">
        <v>7503</v>
      </c>
      <c r="J150" s="6" t="n">
        <v>9229</v>
      </c>
      <c r="K150" s="6" t="n">
        <v>229</v>
      </c>
      <c r="L150" s="6" t="n">
        <v>821</v>
      </c>
    </row>
    <row r="151" customFormat="false" ht="15" hidden="false" customHeight="true" outlineLevel="0" collapsed="false">
      <c r="A151" s="3" t="n">
        <v>2022</v>
      </c>
      <c r="B151" s="4" t="s">
        <v>106</v>
      </c>
      <c r="C151" s="4" t="s">
        <v>107</v>
      </c>
      <c r="D151" s="5" t="n">
        <f aca="false">I151/H151</f>
        <v>0.117274985897236</v>
      </c>
      <c r="E151" s="5" t="n">
        <f aca="false">J151/H151</f>
        <v>0.103316249984997</v>
      </c>
      <c r="F151" s="5" t="n">
        <f aca="false">IF(K151="","",K151/H151)</f>
        <v>0.00164432228716829</v>
      </c>
      <c r="G151" s="5" t="n">
        <f aca="false">L151/H151</f>
        <v>0.0180995475113122</v>
      </c>
      <c r="H151" s="6" t="n">
        <v>83317</v>
      </c>
      <c r="I151" s="6" t="n">
        <v>9771</v>
      </c>
      <c r="J151" s="6" t="n">
        <v>8608</v>
      </c>
      <c r="K151" s="6" t="n">
        <v>137</v>
      </c>
      <c r="L151" s="6" t="n">
        <v>1508</v>
      </c>
    </row>
    <row r="152" customFormat="false" ht="15" hidden="false" customHeight="true" outlineLevel="0" collapsed="false">
      <c r="A152" s="3" t="n">
        <v>2022</v>
      </c>
      <c r="B152" s="4" t="s">
        <v>108</v>
      </c>
      <c r="C152" s="4" t="s">
        <v>109</v>
      </c>
      <c r="D152" s="5" t="n">
        <f aca="false">I152/H152</f>
        <v>0.0800189393939394</v>
      </c>
      <c r="E152" s="5" t="n">
        <f aca="false">J152/H152</f>
        <v>0.11233428030303</v>
      </c>
      <c r="F152" s="5" t="n">
        <f aca="false">IF(K152="","",K152/H152)</f>
        <v>0.000769412878787879</v>
      </c>
      <c r="G152" s="5" t="n">
        <f aca="false">L152/H152</f>
        <v>0.0111860795454545</v>
      </c>
      <c r="H152" s="6" t="n">
        <v>16896</v>
      </c>
      <c r="I152" s="6" t="n">
        <v>1352</v>
      </c>
      <c r="J152" s="6" t="n">
        <v>1898</v>
      </c>
      <c r="K152" s="6" t="n">
        <v>13</v>
      </c>
      <c r="L152" s="6" t="n">
        <v>189</v>
      </c>
    </row>
    <row r="153" customFormat="false" ht="15" hidden="false" customHeight="true" outlineLevel="0" collapsed="false">
      <c r="A153" s="3" t="n">
        <v>2022</v>
      </c>
      <c r="B153" s="4" t="s">
        <v>110</v>
      </c>
      <c r="C153" s="4" t="s">
        <v>111</v>
      </c>
      <c r="D153" s="5" t="n">
        <f aca="false">I153/H153</f>
        <v>0.0833069527982805</v>
      </c>
      <c r="E153" s="5" t="n">
        <f aca="false">J153/H153</f>
        <v>0.102584181675803</v>
      </c>
      <c r="F153" s="5" t="n">
        <f aca="false">IF(K153="","",K153/H153)</f>
        <v>0.00266582248954498</v>
      </c>
      <c r="G153" s="5" t="n">
        <f aca="false">L153/H153</f>
        <v>0.024175677702061</v>
      </c>
      <c r="H153" s="6" t="n">
        <v>60019</v>
      </c>
      <c r="I153" s="6" t="n">
        <v>5000</v>
      </c>
      <c r="J153" s="6" t="n">
        <v>6157</v>
      </c>
      <c r="K153" s="6" t="n">
        <v>160</v>
      </c>
      <c r="L153" s="6" t="n">
        <v>1451</v>
      </c>
    </row>
    <row r="154" customFormat="false" ht="15" hidden="false" customHeight="true" outlineLevel="0" collapsed="false">
      <c r="A154" s="3" t="n">
        <v>2022</v>
      </c>
      <c r="B154" s="4" t="s">
        <v>112</v>
      </c>
      <c r="C154" s="4" t="s">
        <v>113</v>
      </c>
      <c r="D154" s="5" t="n">
        <f aca="false">I154/H154</f>
        <v>0.0593220338983051</v>
      </c>
      <c r="E154" s="5" t="n">
        <f aca="false">J154/H154</f>
        <v>0.110169491525424</v>
      </c>
      <c r="F154" s="5" t="n">
        <f aca="false">IF(K154="","",K154/H154)</f>
        <v>0.00681289464938518</v>
      </c>
      <c r="G154" s="5" t="n">
        <f aca="false">L154/H154</f>
        <v>0.0201063476237953</v>
      </c>
      <c r="H154" s="6" t="n">
        <v>6018</v>
      </c>
      <c r="I154" s="6" t="n">
        <v>357</v>
      </c>
      <c r="J154" s="6" t="n">
        <v>663</v>
      </c>
      <c r="K154" s="6" t="n">
        <v>41</v>
      </c>
      <c r="L154" s="6" t="n">
        <v>121</v>
      </c>
    </row>
    <row r="155" customFormat="false" ht="15" hidden="false" customHeight="true" outlineLevel="0" collapsed="false">
      <c r="A155" s="3" t="n">
        <v>2023</v>
      </c>
      <c r="B155" s="4" t="s">
        <v>12</v>
      </c>
      <c r="C155" s="4" t="s">
        <v>13</v>
      </c>
      <c r="D155" s="5" t="n">
        <f aca="false">I155/H155</f>
        <v>0.068148814051587</v>
      </c>
      <c r="E155" s="5" t="n">
        <f aca="false">J155/H155</f>
        <v>0.131854643523961</v>
      </c>
      <c r="F155" s="5" t="n">
        <f aca="false">IF(K155="","",K155/H155)</f>
        <v>0.000518636332203859</v>
      </c>
      <c r="G155" s="5" t="n">
        <f aca="false">L155/H155</f>
        <v>0.0125164234838531</v>
      </c>
      <c r="H155" s="6" t="n">
        <v>57844</v>
      </c>
      <c r="I155" s="6" t="n">
        <v>3942</v>
      </c>
      <c r="J155" s="6" t="n">
        <v>7627</v>
      </c>
      <c r="K155" s="6" t="n">
        <v>30</v>
      </c>
      <c r="L155" s="6" t="n">
        <v>724</v>
      </c>
    </row>
    <row r="156" customFormat="false" ht="15" hidden="false" customHeight="true" outlineLevel="0" collapsed="false">
      <c r="A156" s="3" t="n">
        <v>2023</v>
      </c>
      <c r="B156" s="4" t="s">
        <v>14</v>
      </c>
      <c r="C156" s="4" t="s">
        <v>15</v>
      </c>
      <c r="D156" s="5" t="n">
        <f aca="false">I156/H156</f>
        <v>0.129186602870813</v>
      </c>
      <c r="E156" s="5" t="n">
        <f aca="false">J156/H156</f>
        <v>0.14009124290642</v>
      </c>
      <c r="F156" s="5" t="n">
        <f aca="false">IF(K156="","",K156/H156)</f>
        <v>0.00233670857905864</v>
      </c>
      <c r="G156" s="5" t="n">
        <f aca="false">L156/H156</f>
        <v>0.0282630466228997</v>
      </c>
      <c r="H156" s="6" t="n">
        <v>8987</v>
      </c>
      <c r="I156" s="6" t="n">
        <v>1161</v>
      </c>
      <c r="J156" s="6" t="n">
        <v>1259</v>
      </c>
      <c r="K156" s="6" t="n">
        <v>21</v>
      </c>
      <c r="L156" s="6" t="n">
        <v>254</v>
      </c>
    </row>
    <row r="157" customFormat="false" ht="15" hidden="false" customHeight="true" outlineLevel="0" collapsed="false">
      <c r="A157" s="3" t="n">
        <v>2023</v>
      </c>
      <c r="B157" s="4" t="s">
        <v>16</v>
      </c>
      <c r="C157" s="4" t="s">
        <v>17</v>
      </c>
      <c r="D157" s="5" t="n">
        <f aca="false">I157/H157</f>
        <v>0.103408086681438</v>
      </c>
      <c r="E157" s="5" t="n">
        <f aca="false">J157/H157</f>
        <v>0.103484931927919</v>
      </c>
      <c r="F157" s="5" t="n">
        <f aca="false">IF(K157="","",K157/H157)</f>
        <v>0.00142163705990087</v>
      </c>
      <c r="G157" s="5" t="n">
        <f aca="false">L157/H157</f>
        <v>0.013281420100155</v>
      </c>
      <c r="H157" s="6" t="n">
        <v>78079</v>
      </c>
      <c r="I157" s="6" t="n">
        <v>8074</v>
      </c>
      <c r="J157" s="6" t="n">
        <v>8080</v>
      </c>
      <c r="K157" s="6" t="n">
        <v>111</v>
      </c>
      <c r="L157" s="6" t="n">
        <v>1037</v>
      </c>
    </row>
    <row r="158" customFormat="false" ht="15" hidden="false" customHeight="true" outlineLevel="0" collapsed="false">
      <c r="A158" s="3" t="n">
        <v>2023</v>
      </c>
      <c r="B158" s="4" t="s">
        <v>18</v>
      </c>
      <c r="C158" s="4" t="s">
        <v>19</v>
      </c>
      <c r="D158" s="5" t="n">
        <f aca="false">I158/H158</f>
        <v>0.0725312145289444</v>
      </c>
      <c r="E158" s="5" t="n">
        <f aca="false">J158/H158</f>
        <v>0.106186152099887</v>
      </c>
      <c r="F158" s="5" t="n">
        <f aca="false">IF(K158="","",K158/H158)</f>
        <v>0.00482406356413167</v>
      </c>
      <c r="G158" s="5" t="n">
        <f aca="false">L158/H158</f>
        <v>0.0190408626560726</v>
      </c>
      <c r="H158" s="6" t="n">
        <v>35240</v>
      </c>
      <c r="I158" s="6" t="n">
        <v>2556</v>
      </c>
      <c r="J158" s="6" t="n">
        <v>3742</v>
      </c>
      <c r="K158" s="6" t="n">
        <v>170</v>
      </c>
      <c r="L158" s="6" t="n">
        <v>671</v>
      </c>
    </row>
    <row r="159" customFormat="false" ht="15" hidden="false" customHeight="true" outlineLevel="0" collapsed="false">
      <c r="A159" s="3" t="n">
        <v>2023</v>
      </c>
      <c r="B159" s="4" t="s">
        <v>20</v>
      </c>
      <c r="C159" s="4" t="s">
        <v>21</v>
      </c>
      <c r="D159" s="5" t="n">
        <f aca="false">I159/H159</f>
        <v>0.0883308589395598</v>
      </c>
      <c r="E159" s="5" t="n">
        <f aca="false">J159/H159</f>
        <v>0.0835745242415608</v>
      </c>
      <c r="F159" s="5" t="n">
        <f aca="false">IF(K159="","",K159/H159)</f>
        <v>0.000627346300156462</v>
      </c>
      <c r="G159" s="5" t="n">
        <f aca="false">L159/H159</f>
        <v>0.0125319296772291</v>
      </c>
      <c r="H159" s="6" t="n">
        <v>400098</v>
      </c>
      <c r="I159" s="6" t="n">
        <v>35341</v>
      </c>
      <c r="J159" s="6" t="n">
        <v>33438</v>
      </c>
      <c r="K159" s="6" t="n">
        <v>251</v>
      </c>
      <c r="L159" s="6" t="n">
        <v>5014</v>
      </c>
    </row>
    <row r="160" customFormat="false" ht="15" hidden="false" customHeight="true" outlineLevel="0" collapsed="false">
      <c r="A160" s="3" t="n">
        <v>2023</v>
      </c>
      <c r="B160" s="4" t="s">
        <v>22</v>
      </c>
      <c r="C160" s="4" t="s">
        <v>23</v>
      </c>
      <c r="D160" s="5" t="n">
        <f aca="false">I160/H160</f>
        <v>0.0705792410169657</v>
      </c>
      <c r="E160" s="5" t="n">
        <f aca="false">J160/H160</f>
        <v>0.11575060591766</v>
      </c>
      <c r="F160" s="5" t="n">
        <f aca="false">IF(K160="","",K160/H160)</f>
        <v>0.0100850724661255</v>
      </c>
      <c r="G160" s="5" t="n">
        <f aca="false">L160/H160</f>
        <v>0.0147697512891</v>
      </c>
      <c r="H160" s="6" t="n">
        <v>61477</v>
      </c>
      <c r="I160" s="6" t="n">
        <v>4339</v>
      </c>
      <c r="J160" s="6" t="n">
        <v>7116</v>
      </c>
      <c r="K160" s="6" t="n">
        <v>620</v>
      </c>
      <c r="L160" s="6" t="n">
        <v>908</v>
      </c>
    </row>
    <row r="161" customFormat="false" ht="15" hidden="false" customHeight="true" outlineLevel="0" collapsed="false">
      <c r="A161" s="3" t="n">
        <v>2023</v>
      </c>
      <c r="B161" s="4" t="s">
        <v>24</v>
      </c>
      <c r="C161" s="4" t="s">
        <v>25</v>
      </c>
      <c r="D161" s="5" t="n">
        <f aca="false">I161/H161</f>
        <v>0.0783797087181863</v>
      </c>
      <c r="E161" s="5" t="n">
        <f aca="false">J161/H161</f>
        <v>0.0857051857428265</v>
      </c>
      <c r="F161" s="5" t="n">
        <f aca="false">IF(K161="","",K161/H161)</f>
        <v>0.00130295045892811</v>
      </c>
      <c r="G161" s="5" t="n">
        <f aca="false">L161/H161</f>
        <v>0.0142166372296378</v>
      </c>
      <c r="H161" s="6" t="n">
        <v>34537</v>
      </c>
      <c r="I161" s="6" t="n">
        <v>2707</v>
      </c>
      <c r="J161" s="6" t="n">
        <v>2960</v>
      </c>
      <c r="K161" s="6" t="n">
        <v>45</v>
      </c>
      <c r="L161" s="6" t="n">
        <v>491</v>
      </c>
    </row>
    <row r="162" customFormat="false" ht="15" hidden="false" customHeight="true" outlineLevel="0" collapsed="false">
      <c r="A162" s="3" t="n">
        <v>2023</v>
      </c>
      <c r="B162" s="4" t="s">
        <v>26</v>
      </c>
      <c r="C162" s="4" t="s">
        <v>27</v>
      </c>
      <c r="D162" s="5" t="n">
        <f aca="false">I162/H162</f>
        <v>0.0918367346938776</v>
      </c>
      <c r="E162" s="5" t="n">
        <f aca="false">J162/H162</f>
        <v>0.10271467077397</v>
      </c>
      <c r="F162" s="5" t="n">
        <f aca="false">IF(K162="","",K162/H162)</f>
        <v>0</v>
      </c>
      <c r="G162" s="5" t="n">
        <f aca="false">L162/H162</f>
        <v>0.0478436657681941</v>
      </c>
      <c r="H162" s="6" t="n">
        <v>10388</v>
      </c>
      <c r="I162" s="6" t="n">
        <v>954</v>
      </c>
      <c r="J162" s="6" t="n">
        <v>1067</v>
      </c>
      <c r="K162" s="6" t="n">
        <v>0</v>
      </c>
      <c r="L162" s="6" t="n">
        <v>497</v>
      </c>
    </row>
    <row r="163" customFormat="false" ht="15" hidden="false" customHeight="true" outlineLevel="0" collapsed="false">
      <c r="A163" s="3" t="n">
        <v>2023</v>
      </c>
      <c r="B163" s="4" t="s">
        <v>28</v>
      </c>
      <c r="C163" s="4" t="s">
        <v>29</v>
      </c>
      <c r="D163" s="5" t="n">
        <f aca="false">I163/H163</f>
        <v>0.0598095238095238</v>
      </c>
      <c r="E163" s="5" t="n">
        <f aca="false">J163/H163</f>
        <v>0.100063492063492</v>
      </c>
      <c r="F163" s="5" t="n">
        <f aca="false">IF(K163="","",K163/H163)</f>
        <v>0.00571428571428571</v>
      </c>
      <c r="G163" s="5" t="n">
        <f aca="false">L163/H163</f>
        <v>0.0372063492063492</v>
      </c>
      <c r="H163" s="6" t="n">
        <v>7875</v>
      </c>
      <c r="I163" s="6" t="n">
        <v>471</v>
      </c>
      <c r="J163" s="6" t="n">
        <v>788</v>
      </c>
      <c r="K163" s="6" t="n">
        <v>45</v>
      </c>
      <c r="L163" s="6" t="n">
        <v>293</v>
      </c>
    </row>
    <row r="164" customFormat="false" ht="15" hidden="false" customHeight="true" outlineLevel="0" collapsed="false">
      <c r="A164" s="3" t="n">
        <v>2023</v>
      </c>
      <c r="B164" s="4" t="s">
        <v>30</v>
      </c>
      <c r="C164" s="4" t="s">
        <v>31</v>
      </c>
      <c r="D164" s="5" t="n">
        <f aca="false">I164/H164</f>
        <v>0.0679567794160162</v>
      </c>
      <c r="E164" s="5" t="n">
        <f aca="false">J164/H164</f>
        <v>0.0937093451864701</v>
      </c>
      <c r="F164" s="5" t="n">
        <f aca="false">IF(K164="","",K164/H164)</f>
        <v>0.00138678086152067</v>
      </c>
      <c r="G164" s="5" t="n">
        <f aca="false">L164/H164</f>
        <v>0.00784637901127494</v>
      </c>
      <c r="H164" s="6" t="n">
        <v>221376</v>
      </c>
      <c r="I164" s="6" t="n">
        <v>15044</v>
      </c>
      <c r="J164" s="6" t="n">
        <v>20745</v>
      </c>
      <c r="K164" s="6" t="n">
        <v>307</v>
      </c>
      <c r="L164" s="6" t="n">
        <v>1737</v>
      </c>
    </row>
    <row r="165" customFormat="false" ht="15" hidden="false" customHeight="true" outlineLevel="0" collapsed="false">
      <c r="A165" s="3" t="n">
        <v>2023</v>
      </c>
      <c r="B165" s="4" t="s">
        <v>32</v>
      </c>
      <c r="C165" s="4" t="s">
        <v>33</v>
      </c>
      <c r="D165" s="5" t="n">
        <f aca="false">I165/H165</f>
        <v>0.0634612310151878</v>
      </c>
      <c r="E165" s="5" t="n">
        <f aca="false">J165/H165</f>
        <v>0.0962589928057554</v>
      </c>
      <c r="F165" s="5" t="n">
        <f aca="false">IF(K165="","",K165/H165)</f>
        <v>0.00141486810551559</v>
      </c>
      <c r="G165" s="5" t="n">
        <f aca="false">L165/H165</f>
        <v>0.0148041566746603</v>
      </c>
      <c r="H165" s="6" t="n">
        <v>125100</v>
      </c>
      <c r="I165" s="6" t="n">
        <v>7939</v>
      </c>
      <c r="J165" s="6" t="n">
        <v>12042</v>
      </c>
      <c r="K165" s="6" t="n">
        <v>177</v>
      </c>
      <c r="L165" s="6" t="n">
        <v>1852</v>
      </c>
    </row>
    <row r="166" customFormat="false" ht="15" hidden="false" customHeight="true" outlineLevel="0" collapsed="false">
      <c r="A166" s="3" t="n">
        <v>2023</v>
      </c>
      <c r="B166" s="4" t="s">
        <v>34</v>
      </c>
      <c r="C166" s="4" t="s">
        <v>35</v>
      </c>
      <c r="D166" s="5" t="n">
        <f aca="false">I166/H166</f>
        <v>0.0820880384069241</v>
      </c>
      <c r="E166" s="5" t="n">
        <f aca="false">J166/H166</f>
        <v>0.102102914328217</v>
      </c>
      <c r="F166" s="5" t="n">
        <f aca="false">IF(K166="","",K166/H166)</f>
        <v>0.0152816282372033</v>
      </c>
      <c r="G166" s="5" t="n">
        <f aca="false">L166/H166</f>
        <v>0.0117655013861654</v>
      </c>
      <c r="H166" s="6" t="n">
        <v>14789</v>
      </c>
      <c r="I166" s="6" t="n">
        <v>1214</v>
      </c>
      <c r="J166" s="6" t="n">
        <v>1510</v>
      </c>
      <c r="K166" s="6" t="n">
        <v>226</v>
      </c>
      <c r="L166" s="6" t="n">
        <v>174</v>
      </c>
    </row>
    <row r="167" customFormat="false" ht="15" hidden="false" customHeight="true" outlineLevel="0" collapsed="false">
      <c r="A167" s="3" t="n">
        <v>2023</v>
      </c>
      <c r="B167" s="4" t="s">
        <v>36</v>
      </c>
      <c r="C167" s="4" t="s">
        <v>37</v>
      </c>
      <c r="D167" s="5" t="n">
        <f aca="false">I167/H167</f>
        <v>0.057916610805738</v>
      </c>
      <c r="E167" s="5" t="n">
        <f aca="false">J167/H167</f>
        <v>0.0876346248380033</v>
      </c>
      <c r="F167" s="5" t="n">
        <f aca="false">IF(K167="","",K167/H167)</f>
        <v>0.000536264914867945</v>
      </c>
      <c r="G167" s="5" t="n">
        <f aca="false">L167/H167</f>
        <v>0.0164901461321893</v>
      </c>
      <c r="H167" s="6" t="n">
        <v>22377</v>
      </c>
      <c r="I167" s="6" t="n">
        <v>1296</v>
      </c>
      <c r="J167" s="6" t="n">
        <v>1961</v>
      </c>
      <c r="K167" s="6" t="n">
        <v>12</v>
      </c>
      <c r="L167" s="6" t="n">
        <v>369</v>
      </c>
    </row>
    <row r="168" customFormat="false" ht="15" hidden="false" customHeight="true" outlineLevel="0" collapsed="false">
      <c r="A168" s="3" t="n">
        <v>2023</v>
      </c>
      <c r="B168" s="4" t="s">
        <v>38</v>
      </c>
      <c r="C168" s="4" t="s">
        <v>39</v>
      </c>
      <c r="D168" s="5" t="n">
        <f aca="false">I168/H168</f>
        <v>0.0981474655854874</v>
      </c>
      <c r="E168" s="5" t="n">
        <f aca="false">J168/H168</f>
        <v>0.115663210525472</v>
      </c>
      <c r="F168" s="5" t="n">
        <f aca="false">IF(K168="","",K168/H168)</f>
        <v>0.00100959920514094</v>
      </c>
      <c r="G168" s="5" t="n">
        <f aca="false">L168/H168</f>
        <v>0.0196871845002484</v>
      </c>
      <c r="H168" s="6" t="n">
        <v>124802</v>
      </c>
      <c r="I168" s="6" t="n">
        <v>12249</v>
      </c>
      <c r="J168" s="6" t="n">
        <v>14435</v>
      </c>
      <c r="K168" s="6" t="n">
        <v>126</v>
      </c>
      <c r="L168" s="6" t="n">
        <v>2457</v>
      </c>
    </row>
    <row r="169" customFormat="false" ht="15" hidden="false" customHeight="true" outlineLevel="0" collapsed="false">
      <c r="A169" s="3" t="n">
        <v>2023</v>
      </c>
      <c r="B169" s="4" t="s">
        <v>40</v>
      </c>
      <c r="C169" s="4" t="s">
        <v>41</v>
      </c>
      <c r="D169" s="5" t="n">
        <f aca="false">I169/H169</f>
        <v>0.0793506065901781</v>
      </c>
      <c r="E169" s="5" t="n">
        <f aca="false">J169/H169</f>
        <v>0.109312868829623</v>
      </c>
      <c r="F169" s="5" t="n">
        <f aca="false">IF(K169="","",K169/H169)</f>
        <v>0.00101309424309196</v>
      </c>
      <c r="G169" s="5" t="n">
        <f aca="false">L169/H169</f>
        <v>0.0145125750322924</v>
      </c>
      <c r="H169" s="6" t="n">
        <v>78966</v>
      </c>
      <c r="I169" s="6" t="n">
        <v>6266</v>
      </c>
      <c r="J169" s="6" t="n">
        <v>8632</v>
      </c>
      <c r="K169" s="6" t="n">
        <v>80</v>
      </c>
      <c r="L169" s="6" t="n">
        <v>1146</v>
      </c>
    </row>
    <row r="170" customFormat="false" ht="15" hidden="false" customHeight="true" outlineLevel="0" collapsed="false">
      <c r="A170" s="3" t="n">
        <v>2023</v>
      </c>
      <c r="B170" s="4" t="s">
        <v>42</v>
      </c>
      <c r="C170" s="4" t="s">
        <v>43</v>
      </c>
      <c r="D170" s="5" t="n">
        <f aca="false">I170/H170</f>
        <v>0.0997668868291058</v>
      </c>
      <c r="E170" s="5" t="n">
        <f aca="false">J170/H170</f>
        <v>0.109979463839707</v>
      </c>
      <c r="F170" s="5" t="n">
        <f aca="false">IF(K170="","",K170/H170)</f>
        <v>0.0016650940778154</v>
      </c>
      <c r="G170" s="5" t="n">
        <f aca="false">L170/H170</f>
        <v>0.0239218515846145</v>
      </c>
      <c r="H170" s="6" t="n">
        <v>36034</v>
      </c>
      <c r="I170" s="6" t="n">
        <v>3595</v>
      </c>
      <c r="J170" s="6" t="n">
        <v>3963</v>
      </c>
      <c r="K170" s="6" t="n">
        <v>60</v>
      </c>
      <c r="L170" s="6" t="n">
        <v>862</v>
      </c>
    </row>
    <row r="171" customFormat="false" ht="15" hidden="false" customHeight="true" outlineLevel="0" collapsed="false">
      <c r="A171" s="3" t="n">
        <v>2023</v>
      </c>
      <c r="B171" s="4" t="s">
        <v>44</v>
      </c>
      <c r="C171" s="4" t="s">
        <v>45</v>
      </c>
      <c r="D171" s="5" t="n">
        <f aca="false">I171/H171</f>
        <v>0.0874724629167279</v>
      </c>
      <c r="E171" s="5" t="n">
        <f aca="false">J171/H171</f>
        <v>0.101453957996769</v>
      </c>
      <c r="F171" s="5" t="n">
        <f aca="false">IF(K171="","",K171/H171)</f>
        <v>0.00249669555000734</v>
      </c>
      <c r="G171" s="5" t="n">
        <f aca="false">L171/H171</f>
        <v>0.0135409017476869</v>
      </c>
      <c r="H171" s="6" t="n">
        <v>34045</v>
      </c>
      <c r="I171" s="6" t="n">
        <v>2978</v>
      </c>
      <c r="J171" s="6" t="n">
        <v>3454</v>
      </c>
      <c r="K171" s="6" t="n">
        <v>85</v>
      </c>
      <c r="L171" s="6" t="n">
        <v>461</v>
      </c>
    </row>
    <row r="172" customFormat="false" ht="15" hidden="false" customHeight="true" outlineLevel="0" collapsed="false">
      <c r="A172" s="3" t="n">
        <v>2023</v>
      </c>
      <c r="B172" s="4" t="s">
        <v>46</v>
      </c>
      <c r="C172" s="4" t="s">
        <v>47</v>
      </c>
      <c r="D172" s="5" t="n">
        <f aca="false">I172/H172</f>
        <v>0.0830494447331447</v>
      </c>
      <c r="E172" s="5" t="n">
        <f aca="false">J172/H172</f>
        <v>0.114209827357238</v>
      </c>
      <c r="F172" s="5" t="n">
        <f aca="false">IF(K172="","",K172/H172)</f>
        <v>0.00109706103123737</v>
      </c>
      <c r="G172" s="5" t="n">
        <f aca="false">L172/H172</f>
        <v>0.0138576130261562</v>
      </c>
      <c r="H172" s="6" t="n">
        <v>51957</v>
      </c>
      <c r="I172" s="6" t="n">
        <v>4315</v>
      </c>
      <c r="J172" s="6" t="n">
        <v>5934</v>
      </c>
      <c r="K172" s="6" t="n">
        <v>57</v>
      </c>
      <c r="L172" s="6" t="n">
        <v>720</v>
      </c>
    </row>
    <row r="173" customFormat="false" ht="15" hidden="false" customHeight="true" outlineLevel="0" collapsed="false">
      <c r="A173" s="3" t="n">
        <v>2023</v>
      </c>
      <c r="B173" s="4" t="s">
        <v>48</v>
      </c>
      <c r="C173" s="4" t="s">
        <v>49</v>
      </c>
      <c r="D173" s="5" t="n">
        <f aca="false">I173/H173</f>
        <v>0.0718292416405624</v>
      </c>
      <c r="E173" s="5" t="n">
        <f aca="false">J173/H173</f>
        <v>0.141582283091717</v>
      </c>
      <c r="F173" s="5" t="n">
        <f aca="false">IF(K173="","",K173/H173)</f>
        <v>0.00145698258905806</v>
      </c>
      <c r="G173" s="5" t="n">
        <f aca="false">L173/H173</f>
        <v>0.0113098273475632</v>
      </c>
      <c r="H173" s="6" t="n">
        <v>54908</v>
      </c>
      <c r="I173" s="6" t="n">
        <v>3944</v>
      </c>
      <c r="J173" s="6" t="n">
        <v>7774</v>
      </c>
      <c r="K173" s="6" t="n">
        <v>80</v>
      </c>
      <c r="L173" s="6" t="n">
        <v>621</v>
      </c>
    </row>
    <row r="174" customFormat="false" ht="15" hidden="false" customHeight="true" outlineLevel="0" collapsed="false">
      <c r="A174" s="3" t="n">
        <v>2023</v>
      </c>
      <c r="B174" s="4" t="s">
        <v>50</v>
      </c>
      <c r="C174" s="4" t="s">
        <v>51</v>
      </c>
      <c r="D174" s="5" t="n">
        <f aca="false">I174/H174</f>
        <v>0.0956364263539151</v>
      </c>
      <c r="E174" s="5" t="n">
        <f aca="false">J174/H174</f>
        <v>0.120127630217316</v>
      </c>
      <c r="F174" s="5" t="n">
        <f aca="false">IF(K174="","",K174/H174)</f>
        <v>0</v>
      </c>
      <c r="G174" s="5" t="n">
        <f aca="false">L174/H174</f>
        <v>0.0237150741635047</v>
      </c>
      <c r="H174" s="6" t="n">
        <v>11596</v>
      </c>
      <c r="I174" s="6" t="n">
        <v>1109</v>
      </c>
      <c r="J174" s="6" t="n">
        <v>1393</v>
      </c>
      <c r="K174" s="6" t="n">
        <v>0</v>
      </c>
      <c r="L174" s="6" t="n">
        <v>275</v>
      </c>
    </row>
    <row r="175" customFormat="false" ht="15" hidden="false" customHeight="true" outlineLevel="0" collapsed="false">
      <c r="A175" s="3" t="n">
        <v>2023</v>
      </c>
      <c r="B175" s="4" t="s">
        <v>52</v>
      </c>
      <c r="C175" s="4" t="s">
        <v>53</v>
      </c>
      <c r="D175" s="5" t="n">
        <f aca="false">I175/H175</f>
        <v>0.0941655483713554</v>
      </c>
      <c r="E175" s="5" t="n">
        <f aca="false">J175/H175</f>
        <v>0.111092472855923</v>
      </c>
      <c r="F175" s="5" t="n">
        <f aca="false">IF(K175="","",K175/H175)</f>
        <v>0.00147919970720996</v>
      </c>
      <c r="G175" s="5" t="n">
        <f aca="false">L175/H175</f>
        <v>0.0271745760644138</v>
      </c>
      <c r="H175" s="6" t="n">
        <v>65576</v>
      </c>
      <c r="I175" s="6" t="n">
        <v>6175</v>
      </c>
      <c r="J175" s="6" t="n">
        <v>7285</v>
      </c>
      <c r="K175" s="6" t="n">
        <v>97</v>
      </c>
      <c r="L175" s="6" t="n">
        <v>1782</v>
      </c>
    </row>
    <row r="176" customFormat="false" ht="15" hidden="false" customHeight="true" outlineLevel="0" collapsed="false">
      <c r="A176" s="3" t="n">
        <v>2023</v>
      </c>
      <c r="B176" s="4" t="s">
        <v>54</v>
      </c>
      <c r="C176" s="4" t="s">
        <v>55</v>
      </c>
      <c r="D176" s="5" t="n">
        <f aca="false">I176/H176</f>
        <v>0.0807221013088459</v>
      </c>
      <c r="E176" s="5" t="n">
        <f aca="false">J176/H176</f>
        <v>0.0805581228943681</v>
      </c>
      <c r="F176" s="5" t="n">
        <f aca="false">IF(K176="","",K176/H176)</f>
        <v>0.00163978414477803</v>
      </c>
      <c r="G176" s="5" t="n">
        <f aca="false">L176/H176</f>
        <v>0.0200202736948809</v>
      </c>
      <c r="H176" s="6" t="n">
        <v>67082</v>
      </c>
      <c r="I176" s="6" t="n">
        <v>5415</v>
      </c>
      <c r="J176" s="6" t="n">
        <v>5404</v>
      </c>
      <c r="K176" s="6" t="n">
        <v>110</v>
      </c>
      <c r="L176" s="6" t="n">
        <v>1343</v>
      </c>
    </row>
    <row r="177" customFormat="false" ht="15" hidden="false" customHeight="true" outlineLevel="0" collapsed="false">
      <c r="A177" s="3" t="n">
        <v>2023</v>
      </c>
      <c r="B177" s="4" t="s">
        <v>56</v>
      </c>
      <c r="C177" s="4" t="s">
        <v>57</v>
      </c>
      <c r="D177" s="5" t="n">
        <f aca="false">I177/H177</f>
        <v>0.0755377537430889</v>
      </c>
      <c r="E177" s="5" t="n">
        <f aca="false">J177/H177</f>
        <v>0.101154203155898</v>
      </c>
      <c r="F177" s="5" t="n">
        <f aca="false">IF(K177="","",K177/H177)</f>
        <v>0.00187658904717705</v>
      </c>
      <c r="G177" s="5" t="n">
        <f aca="false">L177/H177</f>
        <v>0.016203236611647</v>
      </c>
      <c r="H177" s="6" t="n">
        <v>99116</v>
      </c>
      <c r="I177" s="6" t="n">
        <v>7487</v>
      </c>
      <c r="J177" s="6" t="n">
        <v>10026</v>
      </c>
      <c r="K177" s="6" t="n">
        <v>186</v>
      </c>
      <c r="L177" s="6" t="n">
        <v>1606</v>
      </c>
    </row>
    <row r="178" customFormat="false" ht="15" hidden="false" customHeight="true" outlineLevel="0" collapsed="false">
      <c r="A178" s="3" t="n">
        <v>2023</v>
      </c>
      <c r="B178" s="4" t="s">
        <v>58</v>
      </c>
      <c r="C178" s="4" t="s">
        <v>59</v>
      </c>
      <c r="D178" s="5" t="n">
        <f aca="false">I178/H178</f>
        <v>0.0997844513232744</v>
      </c>
      <c r="E178" s="5" t="n">
        <f aca="false">J178/H178</f>
        <v>0.127270959272645</v>
      </c>
      <c r="F178" s="5" t="n">
        <f aca="false">IF(K178="","",K178/H178)</f>
        <v>0.00134515339610716</v>
      </c>
      <c r="G178" s="5" t="n">
        <f aca="false">L178/H178</f>
        <v>0.0213603876634848</v>
      </c>
      <c r="H178" s="6" t="n">
        <v>61703</v>
      </c>
      <c r="I178" s="6" t="n">
        <v>6157</v>
      </c>
      <c r="J178" s="6" t="n">
        <v>7853</v>
      </c>
      <c r="K178" s="6" t="n">
        <v>83</v>
      </c>
      <c r="L178" s="6" t="n">
        <v>1318</v>
      </c>
    </row>
    <row r="179" customFormat="false" ht="15" hidden="false" customHeight="true" outlineLevel="0" collapsed="false">
      <c r="A179" s="3" t="n">
        <v>2023</v>
      </c>
      <c r="B179" s="4" t="s">
        <v>60</v>
      </c>
      <c r="C179" s="4" t="s">
        <v>61</v>
      </c>
      <c r="D179" s="5" t="n">
        <f aca="false">I179/H179</f>
        <v>0.0518398048383818</v>
      </c>
      <c r="E179" s="5" t="n">
        <f aca="false">J179/H179</f>
        <v>0.101472424708855</v>
      </c>
      <c r="F179" s="5" t="n">
        <f aca="false">IF(K179="","",K179/H179)</f>
        <v>0.00232335259779862</v>
      </c>
      <c r="G179" s="5" t="n">
        <f aca="false">L179/H179</f>
        <v>0.0107745476722911</v>
      </c>
      <c r="H179" s="6" t="n">
        <v>34433</v>
      </c>
      <c r="I179" s="6" t="n">
        <v>1785</v>
      </c>
      <c r="J179" s="6" t="n">
        <v>3494</v>
      </c>
      <c r="K179" s="6" t="n">
        <v>80</v>
      </c>
      <c r="L179" s="6" t="n">
        <v>371</v>
      </c>
    </row>
    <row r="180" customFormat="false" ht="15" hidden="false" customHeight="true" outlineLevel="0" collapsed="false">
      <c r="A180" s="3" t="n">
        <v>2023</v>
      </c>
      <c r="B180" s="4" t="s">
        <v>62</v>
      </c>
      <c r="C180" s="4" t="s">
        <v>63</v>
      </c>
      <c r="D180" s="5" t="n">
        <f aca="false">I180/H180</f>
        <v>0.0856444570287469</v>
      </c>
      <c r="E180" s="5" t="n">
        <f aca="false">J180/H180</f>
        <v>0.115404676393008</v>
      </c>
      <c r="F180" s="5" t="n">
        <f aca="false">IF(K180="","",K180/H180)</f>
        <v>0.00870303861228261</v>
      </c>
      <c r="G180" s="5" t="n">
        <f aca="false">L180/H180</f>
        <v>0.014127535281582</v>
      </c>
      <c r="H180" s="6" t="n">
        <v>67103</v>
      </c>
      <c r="I180" s="6" t="n">
        <v>5747</v>
      </c>
      <c r="J180" s="6" t="n">
        <v>7744</v>
      </c>
      <c r="K180" s="6" t="n">
        <v>584</v>
      </c>
      <c r="L180" s="6" t="n">
        <v>948</v>
      </c>
    </row>
    <row r="181" customFormat="false" ht="15" hidden="false" customHeight="true" outlineLevel="0" collapsed="false">
      <c r="A181" s="3" t="n">
        <v>2023</v>
      </c>
      <c r="B181" s="4" t="s">
        <v>64</v>
      </c>
      <c r="C181" s="4" t="s">
        <v>65</v>
      </c>
      <c r="D181" s="5" t="n">
        <f aca="false">I181/H181</f>
        <v>0.0799457994579946</v>
      </c>
      <c r="E181" s="5" t="n">
        <f aca="false">J181/H181</f>
        <v>0.106865401987353</v>
      </c>
      <c r="F181" s="5" t="n">
        <f aca="false">IF(K181="","",K181/H181)</f>
        <v>0.0028906955736224</v>
      </c>
      <c r="G181" s="5" t="n">
        <f aca="false">L181/H181</f>
        <v>0.0194218608852755</v>
      </c>
      <c r="H181" s="6" t="n">
        <v>11070</v>
      </c>
      <c r="I181" s="6" t="n">
        <v>885</v>
      </c>
      <c r="J181" s="6" t="n">
        <v>1183</v>
      </c>
      <c r="K181" s="6" t="n">
        <v>32</v>
      </c>
      <c r="L181" s="6" t="n">
        <v>215</v>
      </c>
    </row>
    <row r="182" customFormat="false" ht="15" hidden="false" customHeight="true" outlineLevel="0" collapsed="false">
      <c r="A182" s="3" t="n">
        <v>2023</v>
      </c>
      <c r="B182" s="4" t="s">
        <v>66</v>
      </c>
      <c r="C182" s="4" t="s">
        <v>67</v>
      </c>
      <c r="D182" s="5" t="n">
        <f aca="false">I182/H182</f>
        <v>0.091214813584655</v>
      </c>
      <c r="E182" s="5" t="n">
        <f aca="false">J182/H182</f>
        <v>0.106991613385369</v>
      </c>
      <c r="F182" s="5" t="n">
        <f aca="false">IF(K182="","",K182/H182)</f>
        <v>0.00290625259486839</v>
      </c>
      <c r="G182" s="5" t="n">
        <f aca="false">L182/H182</f>
        <v>0.0192643029145562</v>
      </c>
      <c r="H182" s="6" t="n">
        <v>24086</v>
      </c>
      <c r="I182" s="6" t="n">
        <v>2197</v>
      </c>
      <c r="J182" s="6" t="n">
        <v>2577</v>
      </c>
      <c r="K182" s="6" t="n">
        <v>70</v>
      </c>
      <c r="L182" s="6" t="n">
        <v>464</v>
      </c>
    </row>
    <row r="183" customFormat="false" ht="15" hidden="false" customHeight="true" outlineLevel="0" collapsed="false">
      <c r="A183" s="3" t="n">
        <v>2023</v>
      </c>
      <c r="B183" s="4" t="s">
        <v>68</v>
      </c>
      <c r="C183" s="4" t="s">
        <v>69</v>
      </c>
      <c r="D183" s="5" t="n">
        <f aca="false">I183/H183</f>
        <v>0.0870768843588776</v>
      </c>
      <c r="E183" s="5" t="n">
        <f aca="false">J183/H183</f>
        <v>0.0851893796401158</v>
      </c>
      <c r="F183" s="5" t="n">
        <f aca="false">IF(K183="","",K183/H183)</f>
        <v>0.011513778784447</v>
      </c>
      <c r="G183" s="5" t="n">
        <f aca="false">L183/H183</f>
        <v>0.0125833647917453</v>
      </c>
      <c r="H183" s="6" t="n">
        <v>31788</v>
      </c>
      <c r="I183" s="6" t="n">
        <v>2768</v>
      </c>
      <c r="J183" s="6" t="n">
        <v>2708</v>
      </c>
      <c r="K183" s="6" t="n">
        <v>366</v>
      </c>
      <c r="L183" s="6" t="n">
        <v>400</v>
      </c>
    </row>
    <row r="184" customFormat="false" ht="15" hidden="false" customHeight="true" outlineLevel="0" collapsed="false">
      <c r="A184" s="3" t="n">
        <v>2023</v>
      </c>
      <c r="B184" s="4" t="s">
        <v>70</v>
      </c>
      <c r="C184" s="4" t="s">
        <v>71</v>
      </c>
      <c r="D184" s="5" t="n">
        <f aca="false">I184/H184</f>
        <v>0.0980211303035385</v>
      </c>
      <c r="E184" s="5" t="n">
        <f aca="false">J184/H184</f>
        <v>0.124350159315781</v>
      </c>
      <c r="F184" s="5" t="n">
        <f aca="false">IF(K184="","",K184/H184)</f>
        <v>0.00109005534127117</v>
      </c>
      <c r="G184" s="5" t="n">
        <f aca="false">L184/H184</f>
        <v>0.0337078651685393</v>
      </c>
      <c r="H184" s="6" t="n">
        <v>11926</v>
      </c>
      <c r="I184" s="6" t="n">
        <v>1169</v>
      </c>
      <c r="J184" s="6" t="n">
        <v>1483</v>
      </c>
      <c r="K184" s="6" t="n">
        <v>13</v>
      </c>
      <c r="L184" s="6" t="n">
        <v>402</v>
      </c>
    </row>
    <row r="185" customFormat="false" ht="15" hidden="false" customHeight="true" outlineLevel="0" collapsed="false">
      <c r="A185" s="3" t="n">
        <v>2023</v>
      </c>
      <c r="B185" s="4" t="s">
        <v>72</v>
      </c>
      <c r="C185" s="4" t="s">
        <v>73</v>
      </c>
      <c r="D185" s="5" t="n">
        <f aca="false">I185/H185</f>
        <v>0.0878254582908302</v>
      </c>
      <c r="E185" s="5" t="n">
        <f aca="false">J185/H185</f>
        <v>0.0700187178750755</v>
      </c>
      <c r="F185" s="5" t="n">
        <f aca="false">IF(K185="","",K185/H185)</f>
        <v>0.000930941934972716</v>
      </c>
      <c r="G185" s="5" t="n">
        <f aca="false">L185/H185</f>
        <v>0.0194606478959722</v>
      </c>
      <c r="H185" s="6" t="n">
        <v>100973</v>
      </c>
      <c r="I185" s="6" t="n">
        <v>8868</v>
      </c>
      <c r="J185" s="6" t="n">
        <v>7070</v>
      </c>
      <c r="K185" s="6" t="n">
        <v>94</v>
      </c>
      <c r="L185" s="6" t="n">
        <v>1965</v>
      </c>
    </row>
    <row r="186" customFormat="false" ht="15" hidden="false" customHeight="true" outlineLevel="0" collapsed="false">
      <c r="A186" s="3" t="n">
        <v>2023</v>
      </c>
      <c r="B186" s="4" t="s">
        <v>74</v>
      </c>
      <c r="C186" s="4" t="s">
        <v>75</v>
      </c>
      <c r="D186" s="5" t="n">
        <f aca="false">I186/H186</f>
        <v>0.0770406457467641</v>
      </c>
      <c r="E186" s="5" t="n">
        <f aca="false">J186/H186</f>
        <v>0.0860677269904953</v>
      </c>
      <c r="F186" s="5" t="n">
        <f aca="false">IF(K186="","",K186/H186)</f>
        <v>0.00482399579691455</v>
      </c>
      <c r="G186" s="5" t="n">
        <f aca="false">L186/H186</f>
        <v>0.0128480680135645</v>
      </c>
      <c r="H186" s="6" t="n">
        <v>20937</v>
      </c>
      <c r="I186" s="6" t="n">
        <v>1613</v>
      </c>
      <c r="J186" s="6" t="n">
        <v>1802</v>
      </c>
      <c r="K186" s="6" t="n">
        <v>101</v>
      </c>
      <c r="L186" s="6" t="n">
        <v>269</v>
      </c>
    </row>
    <row r="187" customFormat="false" ht="15" hidden="false" customHeight="true" outlineLevel="0" collapsed="false">
      <c r="A187" s="3" t="n">
        <v>2023</v>
      </c>
      <c r="B187" s="4" t="s">
        <v>76</v>
      </c>
      <c r="C187" s="4" t="s">
        <v>77</v>
      </c>
      <c r="D187" s="5" t="n">
        <f aca="false">I187/H187</f>
        <v>0.0885623354681545</v>
      </c>
      <c r="E187" s="5" t="n">
        <f aca="false">J187/H187</f>
        <v>0.0800852618757613</v>
      </c>
      <c r="F187" s="5" t="n">
        <f aca="false">IF(K187="","",K187/H187)</f>
        <v>0.00306962398334054</v>
      </c>
      <c r="G187" s="5" t="n">
        <f aca="false">L187/H187</f>
        <v>0.0182949589407096</v>
      </c>
      <c r="H187" s="6" t="n">
        <v>203608</v>
      </c>
      <c r="I187" s="6" t="n">
        <v>18032</v>
      </c>
      <c r="J187" s="6" t="n">
        <v>16306</v>
      </c>
      <c r="K187" s="6" t="n">
        <v>625</v>
      </c>
      <c r="L187" s="6" t="n">
        <v>3725</v>
      </c>
    </row>
    <row r="188" customFormat="false" ht="15" hidden="false" customHeight="true" outlineLevel="0" collapsed="false">
      <c r="A188" s="3" t="n">
        <v>2023</v>
      </c>
      <c r="B188" s="4" t="s">
        <v>78</v>
      </c>
      <c r="C188" s="4" t="s">
        <v>79</v>
      </c>
      <c r="D188" s="5" t="n">
        <f aca="false">I188/H188</f>
        <v>0.0878335609821101</v>
      </c>
      <c r="E188" s="5" t="n">
        <f aca="false">J188/H188</f>
        <v>0.113110903821168</v>
      </c>
      <c r="F188" s="5" t="n">
        <f aca="false">IF(K188="","",K188/H188)</f>
        <v>0.00283172868707732</v>
      </c>
      <c r="G188" s="5" t="n">
        <f aca="false">L188/H188</f>
        <v>0.0162824399506946</v>
      </c>
      <c r="H188" s="6" t="n">
        <v>120068</v>
      </c>
      <c r="I188" s="6" t="n">
        <v>10546</v>
      </c>
      <c r="J188" s="6" t="n">
        <v>13581</v>
      </c>
      <c r="K188" s="6" t="n">
        <v>340</v>
      </c>
      <c r="L188" s="6" t="n">
        <v>1955</v>
      </c>
    </row>
    <row r="189" customFormat="false" ht="15" hidden="false" customHeight="true" outlineLevel="0" collapsed="false">
      <c r="A189" s="3" t="n">
        <v>2023</v>
      </c>
      <c r="B189" s="4" t="s">
        <v>80</v>
      </c>
      <c r="C189" s="4" t="s">
        <v>81</v>
      </c>
      <c r="D189" s="5" t="n">
        <f aca="false">I189/H189</f>
        <v>0.0768033212247016</v>
      </c>
      <c r="E189" s="5" t="n">
        <f aca="false">J189/H189</f>
        <v>0.109289050337312</v>
      </c>
      <c r="F189" s="5" t="n">
        <f aca="false">IF(K189="","",K189/H189)</f>
        <v>0.00238713025428127</v>
      </c>
      <c r="G189" s="5" t="n">
        <f aca="false">L189/H189</f>
        <v>0.0222106901920083</v>
      </c>
      <c r="H189" s="6" t="n">
        <v>9635</v>
      </c>
      <c r="I189" s="6" t="n">
        <v>740</v>
      </c>
      <c r="J189" s="6" t="n">
        <v>1053</v>
      </c>
      <c r="K189" s="6" t="n">
        <v>23</v>
      </c>
      <c r="L189" s="6" t="n">
        <v>214</v>
      </c>
    </row>
    <row r="190" customFormat="false" ht="15" hidden="false" customHeight="true" outlineLevel="0" collapsed="false">
      <c r="A190" s="3" t="n">
        <v>2023</v>
      </c>
      <c r="B190" s="4" t="s">
        <v>82</v>
      </c>
      <c r="C190" s="4" t="s">
        <v>83</v>
      </c>
      <c r="D190" s="5" t="n">
        <f aca="false">I190/H190</f>
        <v>0.0908138013650048</v>
      </c>
      <c r="E190" s="5" t="n">
        <f aca="false">J190/H190</f>
        <v>0.134616900209637</v>
      </c>
      <c r="F190" s="5" t="n">
        <f aca="false">IF(K190="","",K190/H190)</f>
        <v>0.00250618665573822</v>
      </c>
      <c r="G190" s="5" t="n">
        <f aca="false">L190/H190</f>
        <v>0.0209006509780433</v>
      </c>
      <c r="H190" s="6" t="n">
        <v>126886</v>
      </c>
      <c r="I190" s="6" t="n">
        <v>11523</v>
      </c>
      <c r="J190" s="6" t="n">
        <v>17081</v>
      </c>
      <c r="K190" s="6" t="n">
        <v>318</v>
      </c>
      <c r="L190" s="6" t="n">
        <v>2652</v>
      </c>
    </row>
    <row r="191" customFormat="false" ht="15" hidden="false" customHeight="true" outlineLevel="0" collapsed="false">
      <c r="A191" s="3" t="n">
        <v>2023</v>
      </c>
      <c r="B191" s="4" t="s">
        <v>84</v>
      </c>
      <c r="C191" s="4" t="s">
        <v>85</v>
      </c>
      <c r="D191" s="5" t="n">
        <f aca="false">I191/H191</f>
        <v>0.0662170063481457</v>
      </c>
      <c r="E191" s="5" t="n">
        <f aca="false">J191/H191</f>
        <v>0.0863681924490478</v>
      </c>
      <c r="F191" s="5" t="n">
        <f aca="false">IF(K191="","",K191/H191)</f>
        <v>0.00492816572001337</v>
      </c>
      <c r="G191" s="5" t="n">
        <f aca="false">L191/H191</f>
        <v>0.0158494821249582</v>
      </c>
      <c r="H191" s="6" t="n">
        <v>47888</v>
      </c>
      <c r="I191" s="6" t="n">
        <v>3171</v>
      </c>
      <c r="J191" s="6" t="n">
        <v>4136</v>
      </c>
      <c r="K191" s="6" t="n">
        <v>236</v>
      </c>
      <c r="L191" s="6" t="n">
        <v>759</v>
      </c>
    </row>
    <row r="192" customFormat="false" ht="15" hidden="false" customHeight="true" outlineLevel="0" collapsed="false">
      <c r="A192" s="3" t="n">
        <v>2023</v>
      </c>
      <c r="B192" s="4" t="s">
        <v>86</v>
      </c>
      <c r="C192" s="4" t="s">
        <v>87</v>
      </c>
      <c r="D192" s="5" t="n">
        <f aca="false">I192/H192</f>
        <v>0.108388411400507</v>
      </c>
      <c r="E192" s="5" t="n">
        <f aca="false">J192/H192</f>
        <v>0.122730478852635</v>
      </c>
      <c r="F192" s="5" t="n">
        <f aca="false">IF(K192="","",K192/H192)</f>
        <v>0.001489067112516</v>
      </c>
      <c r="G192" s="5" t="n">
        <f aca="false">L192/H192</f>
        <v>0.018861516758536</v>
      </c>
      <c r="H192" s="6" t="n">
        <v>38279</v>
      </c>
      <c r="I192" s="6" t="n">
        <v>4149</v>
      </c>
      <c r="J192" s="6" t="n">
        <v>4698</v>
      </c>
      <c r="K192" s="6" t="n">
        <v>57</v>
      </c>
      <c r="L192" s="6" t="n">
        <v>722</v>
      </c>
    </row>
    <row r="193" customFormat="false" ht="15" hidden="false" customHeight="true" outlineLevel="0" collapsed="false">
      <c r="A193" s="3" t="n">
        <v>2023</v>
      </c>
      <c r="B193" s="4" t="s">
        <v>88</v>
      </c>
      <c r="C193" s="4" t="s">
        <v>89</v>
      </c>
      <c r="D193" s="5" t="n">
        <f aca="false">I193/H193</f>
        <v>0.0935089695814195</v>
      </c>
      <c r="E193" s="5" t="n">
        <f aca="false">J193/H193</f>
        <v>0.122990018041582</v>
      </c>
      <c r="F193" s="5" t="n">
        <f aca="false">IF(K193="","",K193/H193)</f>
        <v>0.00337984227402721</v>
      </c>
      <c r="G193" s="5" t="n">
        <f aca="false">L193/H193</f>
        <v>0.0142756974371499</v>
      </c>
      <c r="H193" s="6" t="n">
        <v>126929</v>
      </c>
      <c r="I193" s="6" t="n">
        <v>11869</v>
      </c>
      <c r="J193" s="6" t="n">
        <v>15611</v>
      </c>
      <c r="K193" s="6" t="n">
        <v>429</v>
      </c>
      <c r="L193" s="6" t="n">
        <v>1812</v>
      </c>
    </row>
    <row r="194" customFormat="false" ht="15" hidden="false" customHeight="true" outlineLevel="0" collapsed="false">
      <c r="A194" s="3" t="n">
        <v>2023</v>
      </c>
      <c r="B194" s="4" t="s">
        <v>90</v>
      </c>
      <c r="C194" s="4" t="s">
        <v>91</v>
      </c>
      <c r="D194" s="5" t="n">
        <f aca="false">I194/H194</f>
        <v>0.0799019106978645</v>
      </c>
      <c r="E194" s="5" t="n">
        <f aca="false">J194/H194</f>
        <v>0.116072340860325</v>
      </c>
      <c r="F194" s="5" t="n">
        <f aca="false">IF(K194="","",K194/H194)</f>
        <v>0</v>
      </c>
      <c r="G194" s="5" t="n">
        <f aca="false">L194/H194</f>
        <v>0.0203330949218351</v>
      </c>
      <c r="H194" s="6" t="n">
        <v>9787</v>
      </c>
      <c r="I194" s="6" t="n">
        <v>782</v>
      </c>
      <c r="J194" s="6" t="n">
        <v>1136</v>
      </c>
      <c r="K194" s="6" t="n">
        <v>0</v>
      </c>
      <c r="L194" s="6" t="n">
        <v>199</v>
      </c>
    </row>
    <row r="195" customFormat="false" ht="15" hidden="false" customHeight="true" outlineLevel="0" collapsed="false">
      <c r="A195" s="3" t="n">
        <v>2023</v>
      </c>
      <c r="B195" s="4" t="s">
        <v>92</v>
      </c>
      <c r="C195" s="4" t="s">
        <v>93</v>
      </c>
      <c r="D195" s="5" t="n">
        <f aca="false">I195/H195</f>
        <v>0.0842404492823962</v>
      </c>
      <c r="E195" s="5" t="n">
        <f aca="false">J195/H195</f>
        <v>0.118803300284268</v>
      </c>
      <c r="F195" s="5" t="n">
        <f aca="false">IF(K195="","",K195/H195)</f>
        <v>0.0011266726755876</v>
      </c>
      <c r="G195" s="5" t="n">
        <f aca="false">L195/H195</f>
        <v>0.0124973999861333</v>
      </c>
      <c r="H195" s="6" t="n">
        <v>57692</v>
      </c>
      <c r="I195" s="6" t="n">
        <v>4860</v>
      </c>
      <c r="J195" s="6" t="n">
        <v>6854</v>
      </c>
      <c r="K195" s="6" t="n">
        <v>65</v>
      </c>
      <c r="L195" s="6" t="n">
        <v>721</v>
      </c>
    </row>
    <row r="196" customFormat="false" ht="15" hidden="false" customHeight="true" outlineLevel="0" collapsed="false">
      <c r="A196" s="3" t="n">
        <v>2023</v>
      </c>
      <c r="B196" s="4" t="s">
        <v>94</v>
      </c>
      <c r="C196" s="4" t="s">
        <v>95</v>
      </c>
      <c r="D196" s="5" t="n">
        <f aca="false">I196/H196</f>
        <v>0.102699320700751</v>
      </c>
      <c r="E196" s="5" t="n">
        <f aca="false">J196/H196</f>
        <v>0.0949231319270647</v>
      </c>
      <c r="F196" s="5" t="n">
        <f aca="false">IF(K196="","",K196/H196)</f>
        <v>0.0139435109045406</v>
      </c>
      <c r="G196" s="5" t="n">
        <f aca="false">L196/H196</f>
        <v>0.0169824812298892</v>
      </c>
      <c r="H196" s="6" t="n">
        <v>11188</v>
      </c>
      <c r="I196" s="6" t="n">
        <v>1149</v>
      </c>
      <c r="J196" s="6" t="n">
        <v>1062</v>
      </c>
      <c r="K196" s="6" t="n">
        <v>156</v>
      </c>
      <c r="L196" s="6" t="n">
        <v>190</v>
      </c>
    </row>
    <row r="197" customFormat="false" ht="15" hidden="false" customHeight="true" outlineLevel="0" collapsed="false">
      <c r="A197" s="3" t="n">
        <v>2023</v>
      </c>
      <c r="B197" s="4" t="s">
        <v>96</v>
      </c>
      <c r="C197" s="4" t="s">
        <v>97</v>
      </c>
      <c r="D197" s="5" t="n">
        <f aca="false">I197/H197</f>
        <v>0.0781528601031276</v>
      </c>
      <c r="E197" s="5" t="n">
        <f aca="false">J197/H197</f>
        <v>0.087525902366151</v>
      </c>
      <c r="F197" s="5" t="n">
        <f aca="false">IF(K197="","",K197/H197)</f>
        <v>0.00502385427208327</v>
      </c>
      <c r="G197" s="5" t="n">
        <f aca="false">L197/H197</f>
        <v>0.0135415160715146</v>
      </c>
      <c r="H197" s="6" t="n">
        <v>83004</v>
      </c>
      <c r="I197" s="6" t="n">
        <v>6487</v>
      </c>
      <c r="J197" s="6" t="n">
        <v>7265</v>
      </c>
      <c r="K197" s="6" t="n">
        <v>417</v>
      </c>
      <c r="L197" s="6" t="n">
        <v>1124</v>
      </c>
    </row>
    <row r="198" customFormat="false" ht="15" hidden="false" customHeight="true" outlineLevel="0" collapsed="false">
      <c r="A198" s="3" t="n">
        <v>2023</v>
      </c>
      <c r="B198" s="4" t="s">
        <v>98</v>
      </c>
      <c r="C198" s="4" t="s">
        <v>99</v>
      </c>
      <c r="D198" s="5" t="n">
        <f aca="false">I198/H198</f>
        <v>0.0674704137054595</v>
      </c>
      <c r="E198" s="5" t="n">
        <f aca="false">J198/H198</f>
        <v>0.0875331564986737</v>
      </c>
      <c r="F198" s="5" t="n">
        <f aca="false">IF(K198="","",K198/H198)</f>
        <v>0.00135590424119629</v>
      </c>
      <c r="G198" s="5" t="n">
        <f aca="false">L198/H198</f>
        <v>0.00851951239002611</v>
      </c>
      <c r="H198" s="6" t="n">
        <v>387933</v>
      </c>
      <c r="I198" s="6" t="n">
        <v>26174</v>
      </c>
      <c r="J198" s="6" t="n">
        <v>33957</v>
      </c>
      <c r="K198" s="6" t="n">
        <v>526</v>
      </c>
      <c r="L198" s="6" t="n">
        <v>3305</v>
      </c>
    </row>
    <row r="199" customFormat="false" ht="15" hidden="false" customHeight="true" outlineLevel="0" collapsed="false">
      <c r="A199" s="3" t="n">
        <v>2023</v>
      </c>
      <c r="B199" s="4" t="s">
        <v>100</v>
      </c>
      <c r="C199" s="4" t="s">
        <v>101</v>
      </c>
      <c r="D199" s="5" t="n">
        <f aca="false">I199/H199</f>
        <v>0.070514245077559</v>
      </c>
      <c r="E199" s="5" t="n">
        <f aca="false">J199/H199</f>
        <v>0.08820392017423</v>
      </c>
      <c r="F199" s="5" t="n">
        <f aca="false">IF(K199="","",K199/H199)</f>
        <v>0.000333348148806614</v>
      </c>
      <c r="G199" s="5" t="n">
        <f aca="false">L199/H199</f>
        <v>0.0228010133783724</v>
      </c>
      <c r="H199" s="6" t="n">
        <v>44998</v>
      </c>
      <c r="I199" s="6" t="n">
        <v>3173</v>
      </c>
      <c r="J199" s="6" t="n">
        <v>3969</v>
      </c>
      <c r="K199" s="6" t="n">
        <v>15</v>
      </c>
      <c r="L199" s="6" t="n">
        <v>1026</v>
      </c>
    </row>
    <row r="200" customFormat="false" ht="15" hidden="false" customHeight="true" outlineLevel="0" collapsed="false">
      <c r="A200" s="3" t="n">
        <v>2023</v>
      </c>
      <c r="B200" s="4" t="s">
        <v>102</v>
      </c>
      <c r="C200" s="4" t="s">
        <v>103</v>
      </c>
      <c r="D200" s="5" t="n">
        <f aca="false">I200/H200</f>
        <v>0.0759794222398101</v>
      </c>
      <c r="E200" s="5" t="n">
        <f aca="false">J200/H200</f>
        <v>0.107439651760981</v>
      </c>
      <c r="F200" s="5" t="n">
        <f aca="false">IF(K200="","",K200/H200)</f>
        <v>0.00277008310249308</v>
      </c>
      <c r="G200" s="5" t="n">
        <f aca="false">L200/H200</f>
        <v>0.0239414325286901</v>
      </c>
      <c r="H200" s="6" t="n">
        <v>5054</v>
      </c>
      <c r="I200" s="6" t="n">
        <v>384</v>
      </c>
      <c r="J200" s="6" t="n">
        <v>543</v>
      </c>
      <c r="K200" s="6" t="n">
        <v>14</v>
      </c>
      <c r="L200" s="6" t="n">
        <v>121</v>
      </c>
    </row>
    <row r="201" customFormat="false" ht="15" hidden="false" customHeight="true" outlineLevel="0" collapsed="false">
      <c r="A201" s="3" t="n">
        <v>2023</v>
      </c>
      <c r="B201" s="4" t="s">
        <v>104</v>
      </c>
      <c r="C201" s="4" t="s">
        <v>105</v>
      </c>
      <c r="D201" s="5" t="n">
        <f aca="false">I201/H201</f>
        <v>0.074652159364442</v>
      </c>
      <c r="E201" s="5" t="n">
        <f aca="false">J201/H201</f>
        <v>0.0988094081581987</v>
      </c>
      <c r="F201" s="5" t="n">
        <f aca="false">IF(K201="","",K201/H201)</f>
        <v>0.00193214813855337</v>
      </c>
      <c r="G201" s="5" t="n">
        <f aca="false">L201/H201</f>
        <v>0.00858132832485995</v>
      </c>
      <c r="H201" s="6" t="n">
        <v>92643</v>
      </c>
      <c r="I201" s="6" t="n">
        <v>6916</v>
      </c>
      <c r="J201" s="6" t="n">
        <v>9154</v>
      </c>
      <c r="K201" s="6" t="n">
        <v>179</v>
      </c>
      <c r="L201" s="6" t="n">
        <v>795</v>
      </c>
    </row>
    <row r="202" customFormat="false" ht="15" hidden="false" customHeight="true" outlineLevel="0" collapsed="false">
      <c r="A202" s="3" t="n">
        <v>2023</v>
      </c>
      <c r="B202" s="4" t="s">
        <v>106</v>
      </c>
      <c r="C202" s="4" t="s">
        <v>107</v>
      </c>
      <c r="D202" s="5" t="n">
        <f aca="false">I202/H202</f>
        <v>0.122776438593238</v>
      </c>
      <c r="E202" s="5" t="n">
        <f aca="false">J202/H202</f>
        <v>0.111898139563632</v>
      </c>
      <c r="F202" s="5" t="n">
        <f aca="false">IF(K202="","",K202/H202)</f>
        <v>0.00106310649607516</v>
      </c>
      <c r="G202" s="5" t="n">
        <f aca="false">L202/H202</f>
        <v>0.0193460658878794</v>
      </c>
      <c r="H202" s="6" t="n">
        <v>80895</v>
      </c>
      <c r="I202" s="6" t="n">
        <v>9932</v>
      </c>
      <c r="J202" s="6" t="n">
        <v>9052</v>
      </c>
      <c r="K202" s="6" t="n">
        <v>86</v>
      </c>
      <c r="L202" s="6" t="n">
        <v>1565</v>
      </c>
    </row>
    <row r="203" customFormat="false" ht="15" hidden="false" customHeight="true" outlineLevel="0" collapsed="false">
      <c r="A203" s="3" t="n">
        <v>2023</v>
      </c>
      <c r="B203" s="4" t="s">
        <v>108</v>
      </c>
      <c r="C203" s="4" t="s">
        <v>109</v>
      </c>
      <c r="D203" s="5" t="n">
        <f aca="false">I203/H203</f>
        <v>0.0812571635398444</v>
      </c>
      <c r="E203" s="5" t="n">
        <f aca="false">J203/H203</f>
        <v>0.127164143089823</v>
      </c>
      <c r="F203" s="5" t="n">
        <f aca="false">IF(K203="","",K203/H203)</f>
        <v>0.000784219098751282</v>
      </c>
      <c r="G203" s="5" t="n">
        <f aca="false">L203/H203</f>
        <v>0.0115219882970381</v>
      </c>
      <c r="H203" s="6" t="n">
        <v>16577</v>
      </c>
      <c r="I203" s="6" t="n">
        <v>1347</v>
      </c>
      <c r="J203" s="6" t="n">
        <v>2108</v>
      </c>
      <c r="K203" s="6" t="n">
        <v>13</v>
      </c>
      <c r="L203" s="6" t="n">
        <v>191</v>
      </c>
    </row>
    <row r="204" customFormat="false" ht="15" hidden="false" customHeight="true" outlineLevel="0" collapsed="false">
      <c r="A204" s="3" t="n">
        <v>2023</v>
      </c>
      <c r="B204" s="4" t="s">
        <v>110</v>
      </c>
      <c r="C204" s="4" t="s">
        <v>111</v>
      </c>
      <c r="D204" s="5" t="n">
        <f aca="false">I204/H204</f>
        <v>0.0825018415589634</v>
      </c>
      <c r="E204" s="5" t="n">
        <f aca="false">J204/H204</f>
        <v>0.1098071385522</v>
      </c>
      <c r="F204" s="5" t="n">
        <f aca="false">IF(K204="","",K204/H204)</f>
        <v>0.00303020156699926</v>
      </c>
      <c r="G204" s="5" t="n">
        <f aca="false">L204/H204</f>
        <v>0.0248945288957343</v>
      </c>
      <c r="H204" s="6" t="n">
        <v>59732</v>
      </c>
      <c r="I204" s="6" t="n">
        <v>4928</v>
      </c>
      <c r="J204" s="6" t="n">
        <v>6559</v>
      </c>
      <c r="K204" s="6" t="n">
        <v>181</v>
      </c>
      <c r="L204" s="6" t="n">
        <v>1487</v>
      </c>
    </row>
    <row r="205" customFormat="false" ht="15" hidden="false" customHeight="true" outlineLevel="0" collapsed="false">
      <c r="A205" s="3" t="n">
        <v>2023</v>
      </c>
      <c r="B205" s="4" t="s">
        <v>112</v>
      </c>
      <c r="C205" s="4" t="s">
        <v>113</v>
      </c>
      <c r="D205" s="5" t="n">
        <f aca="false">I205/H205</f>
        <v>0.0626775864950694</v>
      </c>
      <c r="E205" s="5" t="n">
        <f aca="false">J205/H205</f>
        <v>0.123015209760989</v>
      </c>
      <c r="F205" s="5" t="n">
        <f aca="false">IF(K205="","",K205/H205)</f>
        <v>0.00317566438241685</v>
      </c>
      <c r="G205" s="5" t="n">
        <f aca="false">L205/H205</f>
        <v>0.0197225472171152</v>
      </c>
      <c r="H205" s="6" t="n">
        <v>5983</v>
      </c>
      <c r="I205" s="6" t="n">
        <v>375</v>
      </c>
      <c r="J205" s="6" t="n">
        <v>736</v>
      </c>
      <c r="K205" s="6" t="n">
        <v>19</v>
      </c>
      <c r="L205" s="6" t="n">
        <v>118</v>
      </c>
    </row>
    <row r="206" customFormat="false" ht="15" hidden="false" customHeight="true" outlineLevel="0" collapsed="false">
      <c r="A206" s="3" t="n">
        <v>2024</v>
      </c>
      <c r="B206" s="4" t="s">
        <v>12</v>
      </c>
      <c r="C206" s="4" t="s">
        <v>13</v>
      </c>
      <c r="D206" s="5" t="n">
        <f aca="false">I206/H206</f>
        <v>0.0668773311230833</v>
      </c>
      <c r="E206" s="5" t="n">
        <f aca="false">J206/H206</f>
        <v>0.136741953308468</v>
      </c>
      <c r="F206" s="5" t="n">
        <f aca="false">IF(K206="","",K206/H206)</f>
        <v>0.00214117972095593</v>
      </c>
      <c r="G206" s="5" t="n">
        <f aca="false">L206/H206</f>
        <v>0.014504765851637</v>
      </c>
      <c r="H206" s="6" t="n">
        <v>57912</v>
      </c>
      <c r="I206" s="6" t="n">
        <v>3873</v>
      </c>
      <c r="J206" s="6" t="n">
        <v>7919</v>
      </c>
      <c r="K206" s="6" t="n">
        <v>124</v>
      </c>
      <c r="L206" s="6" t="n">
        <v>840</v>
      </c>
    </row>
    <row r="207" customFormat="false" ht="15" hidden="false" customHeight="true" outlineLevel="0" collapsed="false">
      <c r="A207" s="3" t="n">
        <v>2024</v>
      </c>
      <c r="B207" s="4" t="s">
        <v>14</v>
      </c>
      <c r="C207" s="4" t="s">
        <v>15</v>
      </c>
      <c r="D207" s="5" t="n">
        <f aca="false">I207/H207</f>
        <v>0.127609427609428</v>
      </c>
      <c r="E207" s="5" t="n">
        <f aca="false">J207/H207</f>
        <v>0.14354657687991</v>
      </c>
      <c r="F207" s="5" t="n">
        <f aca="false">IF(K207="","",K207/H207)</f>
        <v>0.00235690235690236</v>
      </c>
      <c r="G207" s="5" t="n">
        <f aca="false">L207/H207</f>
        <v>0.0272727272727273</v>
      </c>
      <c r="H207" s="6" t="n">
        <v>8910</v>
      </c>
      <c r="I207" s="6" t="n">
        <v>1137</v>
      </c>
      <c r="J207" s="6" t="n">
        <v>1279</v>
      </c>
      <c r="K207" s="6" t="n">
        <v>21</v>
      </c>
      <c r="L207" s="6" t="n">
        <v>243</v>
      </c>
    </row>
    <row r="208" customFormat="false" ht="15" hidden="false" customHeight="true" outlineLevel="0" collapsed="false">
      <c r="A208" s="3" t="n">
        <v>2024</v>
      </c>
      <c r="B208" s="4" t="s">
        <v>16</v>
      </c>
      <c r="C208" s="4" t="s">
        <v>17</v>
      </c>
      <c r="D208" s="5" t="n">
        <f aca="false">I208/H208</f>
        <v>0.105875176331541</v>
      </c>
      <c r="E208" s="5" t="n">
        <f aca="false">J208/H208</f>
        <v>0.109090446960743</v>
      </c>
      <c r="F208" s="5" t="n">
        <f aca="false">IF(K208="","",K208/H208)</f>
        <v>0.00132169227445448</v>
      </c>
      <c r="G208" s="5" t="n">
        <f aca="false">L208/H208</f>
        <v>0.0150596667810439</v>
      </c>
      <c r="H208" s="6" t="n">
        <v>78687</v>
      </c>
      <c r="I208" s="6" t="n">
        <v>8331</v>
      </c>
      <c r="J208" s="6" t="n">
        <v>8584</v>
      </c>
      <c r="K208" s="6" t="n">
        <v>104</v>
      </c>
      <c r="L208" s="6" t="n">
        <v>1185</v>
      </c>
    </row>
    <row r="209" customFormat="false" ht="15" hidden="false" customHeight="true" outlineLevel="0" collapsed="false">
      <c r="A209" s="3" t="n">
        <v>2024</v>
      </c>
      <c r="B209" s="4" t="s">
        <v>18</v>
      </c>
      <c r="C209" s="4" t="s">
        <v>19</v>
      </c>
      <c r="D209" s="5" t="n">
        <f aca="false">I209/H209</f>
        <v>0.0756338147593341</v>
      </c>
      <c r="E209" s="5" t="n">
        <f aca="false">J209/H209</f>
        <v>0.108419773324666</v>
      </c>
      <c r="F209" s="5" t="n">
        <f aca="false">IF(K209="","",K209/H209)</f>
        <v>0.00457872869619287</v>
      </c>
      <c r="G209" s="5" t="n">
        <f aca="false">L209/H209</f>
        <v>0.0177779033944773</v>
      </c>
      <c r="H209" s="6" t="n">
        <v>35381</v>
      </c>
      <c r="I209" s="6" t="n">
        <v>2676</v>
      </c>
      <c r="J209" s="6" t="n">
        <v>3836</v>
      </c>
      <c r="K209" s="6" t="n">
        <v>162</v>
      </c>
      <c r="L209" s="6" t="n">
        <v>629</v>
      </c>
    </row>
    <row r="210" customFormat="false" ht="15" hidden="false" customHeight="true" outlineLevel="0" collapsed="false">
      <c r="A210" s="3" t="n">
        <v>2024</v>
      </c>
      <c r="B210" s="4" t="s">
        <v>20</v>
      </c>
      <c r="C210" s="4" t="s">
        <v>21</v>
      </c>
      <c r="D210" s="5" t="n">
        <f aca="false">I210/H210</f>
        <v>0.0903962811798151</v>
      </c>
      <c r="E210" s="5" t="n">
        <f aca="false">J210/H210</f>
        <v>0.0831859683681413</v>
      </c>
      <c r="F210" s="5" t="n">
        <f aca="false">IF(K210="","",K210/H210)</f>
        <v>0.000611844412442826</v>
      </c>
      <c r="G210" s="5" t="n">
        <f aca="false">L210/H210</f>
        <v>0.0134058592807595</v>
      </c>
      <c r="H210" s="6" t="n">
        <v>402063</v>
      </c>
      <c r="I210" s="6" t="n">
        <v>36345</v>
      </c>
      <c r="J210" s="6" t="n">
        <v>33446</v>
      </c>
      <c r="K210" s="6" t="n">
        <v>246</v>
      </c>
      <c r="L210" s="6" t="n">
        <v>5390</v>
      </c>
    </row>
    <row r="211" customFormat="false" ht="15" hidden="false" customHeight="true" outlineLevel="0" collapsed="false">
      <c r="A211" s="3" t="n">
        <v>2024</v>
      </c>
      <c r="B211" s="4" t="s">
        <v>22</v>
      </c>
      <c r="C211" s="4" t="s">
        <v>23</v>
      </c>
      <c r="D211" s="5" t="n">
        <f aca="false">I211/H211</f>
        <v>0.0657786215589549</v>
      </c>
      <c r="E211" s="5" t="n">
        <f aca="false">J211/H211</f>
        <v>0.129269697016853</v>
      </c>
      <c r="F211" s="5" t="n">
        <f aca="false">IF(K211="","",K211/H211)</f>
        <v>0.00295669223946095</v>
      </c>
      <c r="G211" s="5" t="n">
        <f aca="false">L211/H211</f>
        <v>0.0147678996592023</v>
      </c>
      <c r="H211" s="6" t="n">
        <v>64261</v>
      </c>
      <c r="I211" s="6" t="n">
        <v>4227</v>
      </c>
      <c r="J211" s="6" t="n">
        <v>8307</v>
      </c>
      <c r="K211" s="6" t="n">
        <v>190</v>
      </c>
      <c r="L211" s="6" t="n">
        <v>949</v>
      </c>
    </row>
    <row r="212" customFormat="false" ht="15" hidden="false" customHeight="true" outlineLevel="0" collapsed="false">
      <c r="A212" s="3" t="n">
        <v>2024</v>
      </c>
      <c r="B212" s="4" t="s">
        <v>24</v>
      </c>
      <c r="C212" s="4" t="s">
        <v>25</v>
      </c>
      <c r="D212" s="5" t="n">
        <f aca="false">I212/H212</f>
        <v>0.081419563834095</v>
      </c>
      <c r="E212" s="5" t="n">
        <f aca="false">J212/H212</f>
        <v>0.0961126858332851</v>
      </c>
      <c r="F212" s="5" t="n">
        <f aca="false">IF(K212="","",K212/H212)</f>
        <v>0.00052062243304217</v>
      </c>
      <c r="G212" s="5" t="n">
        <f aca="false">L212/H212</f>
        <v>0.0158789842077862</v>
      </c>
      <c r="H212" s="6" t="n">
        <v>34574</v>
      </c>
      <c r="I212" s="6" t="n">
        <v>2815</v>
      </c>
      <c r="J212" s="6" t="n">
        <v>3323</v>
      </c>
      <c r="K212" s="6" t="n">
        <v>18</v>
      </c>
      <c r="L212" s="6" t="n">
        <v>549</v>
      </c>
    </row>
    <row r="213" customFormat="false" ht="15" hidden="false" customHeight="true" outlineLevel="0" collapsed="false">
      <c r="A213" s="3" t="n">
        <v>2024</v>
      </c>
      <c r="B213" s="4" t="s">
        <v>26</v>
      </c>
      <c r="C213" s="4" t="s">
        <v>27</v>
      </c>
      <c r="D213" s="5" t="n">
        <f aca="false">I213/H213</f>
        <v>0.104028120843625</v>
      </c>
      <c r="E213" s="5" t="n">
        <f aca="false">J213/H213</f>
        <v>0.107258217746532</v>
      </c>
      <c r="F213" s="5" t="n">
        <f aca="false">IF(K213="","",K213/H213)</f>
        <v>0</v>
      </c>
      <c r="G213" s="5" t="n">
        <f aca="false">L213/H213</f>
        <v>0.0487364620938628</v>
      </c>
      <c r="H213" s="6" t="n">
        <v>10526</v>
      </c>
      <c r="I213" s="6" t="n">
        <v>1095</v>
      </c>
      <c r="J213" s="6" t="n">
        <v>1129</v>
      </c>
      <c r="K213" s="6" t="n">
        <v>0</v>
      </c>
      <c r="L213" s="6" t="n">
        <v>513</v>
      </c>
    </row>
    <row r="214" customFormat="false" ht="15" hidden="false" customHeight="true" outlineLevel="0" collapsed="false">
      <c r="A214" s="3" t="n">
        <v>2024</v>
      </c>
      <c r="B214" s="4" t="s">
        <v>28</v>
      </c>
      <c r="C214" s="4" t="s">
        <v>29</v>
      </c>
      <c r="D214" s="5" t="n">
        <f aca="false">I214/H214</f>
        <v>0.0557238835463048</v>
      </c>
      <c r="E214" s="5" t="n">
        <f aca="false">J214/H214</f>
        <v>0.0814121986563035</v>
      </c>
      <c r="F214" s="5" t="n">
        <f aca="false">IF(K214="","",K214/H214)</f>
        <v>0.00566460281912791</v>
      </c>
      <c r="G214" s="5" t="n">
        <f aca="false">L214/H214</f>
        <v>0.00922144644974312</v>
      </c>
      <c r="H214" s="6" t="n">
        <v>7591</v>
      </c>
      <c r="I214" s="6" t="n">
        <v>423</v>
      </c>
      <c r="J214" s="6" t="n">
        <v>618</v>
      </c>
      <c r="K214" s="6" t="n">
        <v>43</v>
      </c>
      <c r="L214" s="6" t="n">
        <v>70</v>
      </c>
    </row>
    <row r="215" customFormat="false" ht="15" hidden="false" customHeight="true" outlineLevel="0" collapsed="false">
      <c r="A215" s="3" t="n">
        <v>2024</v>
      </c>
      <c r="B215" s="4" t="s">
        <v>30</v>
      </c>
      <c r="C215" s="4" t="s">
        <v>31</v>
      </c>
      <c r="D215" s="5" t="n">
        <f aca="false">I215/H215</f>
        <v>0.0699383604686922</v>
      </c>
      <c r="E215" s="5" t="n">
        <f aca="false">J215/H215</f>
        <v>0.100040558187628</v>
      </c>
      <c r="F215" s="5" t="n">
        <f aca="false">IF(K215="","",K215/H215)</f>
        <v>0.00144850670101485</v>
      </c>
      <c r="G215" s="5" t="n">
        <f aca="false">L215/H215</f>
        <v>0.0092971845486676</v>
      </c>
      <c r="H215" s="6" t="n">
        <v>224369</v>
      </c>
      <c r="I215" s="6" t="n">
        <v>15692</v>
      </c>
      <c r="J215" s="6" t="n">
        <v>22446</v>
      </c>
      <c r="K215" s="6" t="n">
        <v>325</v>
      </c>
      <c r="L215" s="6" t="n">
        <v>2086</v>
      </c>
    </row>
    <row r="216" customFormat="false" ht="15" hidden="false" customHeight="true" outlineLevel="0" collapsed="false">
      <c r="A216" s="3" t="n">
        <v>2024</v>
      </c>
      <c r="B216" s="4" t="s">
        <v>32</v>
      </c>
      <c r="C216" s="4" t="s">
        <v>33</v>
      </c>
      <c r="D216" s="5" t="n">
        <f aca="false">I216/H216</f>
        <v>0.064079036876493</v>
      </c>
      <c r="E216" s="5" t="n">
        <f aca="false">J216/H216</f>
        <v>0.106184050244419</v>
      </c>
      <c r="F216" s="5" t="n">
        <f aca="false">IF(K216="","",K216/H216)</f>
        <v>0.000925471832434228</v>
      </c>
      <c r="G216" s="5" t="n">
        <f aca="false">L216/H216</f>
        <v>0.014135197987692</v>
      </c>
      <c r="H216" s="6" t="n">
        <v>126422</v>
      </c>
      <c r="I216" s="6" t="n">
        <v>8101</v>
      </c>
      <c r="J216" s="6" t="n">
        <v>13424</v>
      </c>
      <c r="K216" s="6" t="n">
        <v>117</v>
      </c>
      <c r="L216" s="6" t="n">
        <v>1787</v>
      </c>
    </row>
    <row r="217" customFormat="false" ht="15" hidden="false" customHeight="true" outlineLevel="0" collapsed="false">
      <c r="A217" s="3" t="n">
        <v>2024</v>
      </c>
      <c r="B217" s="4" t="s">
        <v>34</v>
      </c>
      <c r="C217" s="4" t="s">
        <v>35</v>
      </c>
      <c r="D217" s="5" t="n">
        <f aca="false">I217/H217</f>
        <v>0.0867932121537327</v>
      </c>
      <c r="E217" s="5" t="n">
        <f aca="false">J217/H217</f>
        <v>0.10423234288014</v>
      </c>
      <c r="F217" s="5" t="n">
        <f aca="false">IF(K217="","",K217/H217)</f>
        <v>0.00751224092829834</v>
      </c>
      <c r="G217" s="5" t="n">
        <f aca="false">L217/H217</f>
        <v>0.0150244818565967</v>
      </c>
      <c r="H217" s="6" t="n">
        <v>14909</v>
      </c>
      <c r="I217" s="6" t="n">
        <v>1294</v>
      </c>
      <c r="J217" s="6" t="n">
        <v>1554</v>
      </c>
      <c r="K217" s="6" t="n">
        <v>112</v>
      </c>
      <c r="L217" s="6" t="n">
        <v>224</v>
      </c>
    </row>
    <row r="218" customFormat="false" ht="15" hidden="false" customHeight="true" outlineLevel="0" collapsed="false">
      <c r="A218" s="3" t="n">
        <v>2024</v>
      </c>
      <c r="B218" s="4" t="s">
        <v>36</v>
      </c>
      <c r="C218" s="4" t="s">
        <v>37</v>
      </c>
      <c r="D218" s="5" t="n">
        <f aca="false">I218/H218</f>
        <v>0.0609619686800895</v>
      </c>
      <c r="E218" s="5" t="n">
        <f aca="false">J218/H218</f>
        <v>0.0872053002925486</v>
      </c>
      <c r="F218" s="5" t="n">
        <f aca="false">IF(K218="","",K218/H218)</f>
        <v>0</v>
      </c>
      <c r="G218" s="5" t="n">
        <f aca="false">L218/H218</f>
        <v>0.0154018241266563</v>
      </c>
      <c r="H218" s="6" t="n">
        <v>23244</v>
      </c>
      <c r="I218" s="6" t="n">
        <v>1417</v>
      </c>
      <c r="J218" s="6" t="n">
        <v>2027</v>
      </c>
      <c r="K218" s="6" t="n">
        <v>0</v>
      </c>
      <c r="L218" s="6" t="n">
        <v>358</v>
      </c>
    </row>
    <row r="219" customFormat="false" ht="15" hidden="false" customHeight="true" outlineLevel="0" collapsed="false">
      <c r="A219" s="3" t="n">
        <v>2024</v>
      </c>
      <c r="B219" s="4" t="s">
        <v>38</v>
      </c>
      <c r="C219" s="4" t="s">
        <v>39</v>
      </c>
      <c r="D219" s="5" t="n">
        <f aca="false">I219/H219</f>
        <v>0.101475677180701</v>
      </c>
      <c r="E219" s="5" t="n">
        <f aca="false">J219/H219</f>
        <v>0.120050912851517</v>
      </c>
      <c r="F219" s="5" t="n">
        <f aca="false">IF(K219="","",K219/H219)</f>
        <v>0.00092279543375363</v>
      </c>
      <c r="G219" s="5" t="n">
        <f aca="false">L219/H219</f>
        <v>0.0194184797740742</v>
      </c>
      <c r="H219" s="6" t="n">
        <v>125705</v>
      </c>
      <c r="I219" s="6" t="n">
        <v>12756</v>
      </c>
      <c r="J219" s="6" t="n">
        <v>15091</v>
      </c>
      <c r="K219" s="6" t="n">
        <v>116</v>
      </c>
      <c r="L219" s="6" t="n">
        <v>2441</v>
      </c>
    </row>
    <row r="220" customFormat="false" ht="15" hidden="false" customHeight="true" outlineLevel="0" collapsed="false">
      <c r="A220" s="3" t="n">
        <v>2024</v>
      </c>
      <c r="B220" s="4" t="s">
        <v>40</v>
      </c>
      <c r="C220" s="4" t="s">
        <v>41</v>
      </c>
      <c r="D220" s="5" t="n">
        <f aca="false">I220/H220</f>
        <v>0.0854062811565304</v>
      </c>
      <c r="E220" s="5" t="n">
        <f aca="false">J220/H220</f>
        <v>0.110680458624128</v>
      </c>
      <c r="F220" s="5" t="n">
        <f aca="false">IF(K220="","",K220/H220)</f>
        <v>0.00127118644067797</v>
      </c>
      <c r="G220" s="5" t="n">
        <f aca="false">L220/H220</f>
        <v>0.0135967098703888</v>
      </c>
      <c r="H220" s="6" t="n">
        <v>80240</v>
      </c>
      <c r="I220" s="6" t="n">
        <v>6853</v>
      </c>
      <c r="J220" s="6" t="n">
        <v>8881</v>
      </c>
      <c r="K220" s="6" t="n">
        <v>102</v>
      </c>
      <c r="L220" s="6" t="n">
        <v>1091</v>
      </c>
    </row>
    <row r="221" customFormat="false" ht="15" hidden="false" customHeight="true" outlineLevel="0" collapsed="false">
      <c r="A221" s="3" t="n">
        <v>2024</v>
      </c>
      <c r="B221" s="4" t="s">
        <v>42</v>
      </c>
      <c r="C221" s="4" t="s">
        <v>43</v>
      </c>
      <c r="D221" s="5" t="n">
        <f aca="false">I221/H221</f>
        <v>0.0974430803877949</v>
      </c>
      <c r="E221" s="5" t="n">
        <f aca="false">J221/H221</f>
        <v>0.117080003295707</v>
      </c>
      <c r="F221" s="5" t="n">
        <f aca="false">IF(K221="","",K221/H221)</f>
        <v>0.00140067562000494</v>
      </c>
      <c r="G221" s="5" t="n">
        <f aca="false">L221/H221</f>
        <v>0.0254868034385213</v>
      </c>
      <c r="H221" s="6" t="n">
        <v>36411</v>
      </c>
      <c r="I221" s="6" t="n">
        <v>3548</v>
      </c>
      <c r="J221" s="6" t="n">
        <v>4263</v>
      </c>
      <c r="K221" s="6" t="n">
        <v>51</v>
      </c>
      <c r="L221" s="6" t="n">
        <v>928</v>
      </c>
    </row>
    <row r="222" customFormat="false" ht="15" hidden="false" customHeight="true" outlineLevel="0" collapsed="false">
      <c r="A222" s="3" t="n">
        <v>2024</v>
      </c>
      <c r="B222" s="4" t="s">
        <v>44</v>
      </c>
      <c r="C222" s="4" t="s">
        <v>45</v>
      </c>
      <c r="D222" s="5" t="n">
        <f aca="false">I222/H222</f>
        <v>0.0868541145296629</v>
      </c>
      <c r="E222" s="5" t="n">
        <f aca="false">J222/H222</f>
        <v>0.11058442514353</v>
      </c>
      <c r="F222" s="5" t="n">
        <f aca="false">IF(K222="","",K222/H222)</f>
        <v>0.0031503017812454</v>
      </c>
      <c r="G222" s="5" t="n">
        <f aca="false">L222/H222</f>
        <v>0.013926100397468</v>
      </c>
      <c r="H222" s="6" t="n">
        <v>33965</v>
      </c>
      <c r="I222" s="6" t="n">
        <v>2950</v>
      </c>
      <c r="J222" s="6" t="n">
        <v>3756</v>
      </c>
      <c r="K222" s="6" t="n">
        <v>107</v>
      </c>
      <c r="L222" s="6" t="n">
        <v>473</v>
      </c>
    </row>
    <row r="223" customFormat="false" ht="15" hidden="false" customHeight="true" outlineLevel="0" collapsed="false">
      <c r="A223" s="3" t="n">
        <v>2024</v>
      </c>
      <c r="B223" s="4" t="s">
        <v>46</v>
      </c>
      <c r="C223" s="4" t="s">
        <v>47</v>
      </c>
      <c r="D223" s="5" t="n">
        <f aca="false">I223/H223</f>
        <v>0.0915141430948419</v>
      </c>
      <c r="E223" s="5" t="n">
        <f aca="false">J223/H223</f>
        <v>0.116737256088338</v>
      </c>
      <c r="F223" s="5" t="n">
        <f aca="false">IF(K223="","",K223/H223)</f>
        <v>0.00141809106035396</v>
      </c>
      <c r="G223" s="5" t="n">
        <f aca="false">L223/H223</f>
        <v>0.0153531992134322</v>
      </c>
      <c r="H223" s="6" t="n">
        <v>52888</v>
      </c>
      <c r="I223" s="6" t="n">
        <v>4840</v>
      </c>
      <c r="J223" s="6" t="n">
        <v>6174</v>
      </c>
      <c r="K223" s="6" t="n">
        <v>75</v>
      </c>
      <c r="L223" s="6" t="n">
        <v>812</v>
      </c>
    </row>
    <row r="224" customFormat="false" ht="15" hidden="false" customHeight="true" outlineLevel="0" collapsed="false">
      <c r="A224" s="3" t="n">
        <v>2024</v>
      </c>
      <c r="B224" s="4" t="s">
        <v>48</v>
      </c>
      <c r="C224" s="4" t="s">
        <v>49</v>
      </c>
      <c r="D224" s="5" t="n">
        <f aca="false">I224/H224</f>
        <v>0.076748419057627</v>
      </c>
      <c r="E224" s="5" t="n">
        <f aca="false">J224/H224</f>
        <v>0.146384943048545</v>
      </c>
      <c r="F224" s="5" t="n">
        <f aca="false">IF(K224="","",K224/H224)</f>
        <v>0.00151995646544445</v>
      </c>
      <c r="G224" s="5" t="n">
        <f aca="false">L224/H224</f>
        <v>0.0101518079975981</v>
      </c>
      <c r="H224" s="6" t="n">
        <v>53291</v>
      </c>
      <c r="I224" s="6" t="n">
        <v>4090</v>
      </c>
      <c r="J224" s="6" t="n">
        <v>7801</v>
      </c>
      <c r="K224" s="6" t="n">
        <v>81</v>
      </c>
      <c r="L224" s="6" t="n">
        <v>541</v>
      </c>
    </row>
    <row r="225" customFormat="false" ht="15" hidden="false" customHeight="true" outlineLevel="0" collapsed="false">
      <c r="A225" s="3" t="n">
        <v>2024</v>
      </c>
      <c r="B225" s="4" t="s">
        <v>50</v>
      </c>
      <c r="C225" s="4" t="s">
        <v>51</v>
      </c>
      <c r="D225" s="5" t="n">
        <f aca="false">I225/H225</f>
        <v>0.0933563416738568</v>
      </c>
      <c r="E225" s="5" t="n">
        <f aca="false">J225/H225</f>
        <v>0.121915444348576</v>
      </c>
      <c r="F225" s="5" t="n">
        <f aca="false">IF(K225="","",K225/H225)</f>
        <v>0.000862812769628991</v>
      </c>
      <c r="G225" s="5" t="n">
        <f aca="false">L225/H225</f>
        <v>0.0248490077653149</v>
      </c>
      <c r="H225" s="6" t="n">
        <v>11590</v>
      </c>
      <c r="I225" s="6" t="n">
        <v>1082</v>
      </c>
      <c r="J225" s="6" t="n">
        <v>1413</v>
      </c>
      <c r="K225" s="6" t="n">
        <v>10</v>
      </c>
      <c r="L225" s="6" t="n">
        <v>288</v>
      </c>
    </row>
    <row r="226" customFormat="false" ht="15" hidden="false" customHeight="true" outlineLevel="0" collapsed="false">
      <c r="A226" s="3" t="n">
        <v>2024</v>
      </c>
      <c r="B226" s="4" t="s">
        <v>52</v>
      </c>
      <c r="C226" s="4" t="s">
        <v>53</v>
      </c>
      <c r="D226" s="5" t="n">
        <f aca="false">I226/H226</f>
        <v>0.0984521347767911</v>
      </c>
      <c r="E226" s="5" t="n">
        <f aca="false">J226/H226</f>
        <v>0.11799051210315</v>
      </c>
      <c r="F226" s="5" t="n">
        <f aca="false">IF(K226="","",K226/H226)</f>
        <v>0.00135324169809026</v>
      </c>
      <c r="G226" s="5" t="n">
        <f aca="false">L226/H226</f>
        <v>0.0286309451404939</v>
      </c>
      <c r="H226" s="6" t="n">
        <v>65768</v>
      </c>
      <c r="I226" s="6" t="n">
        <v>6475</v>
      </c>
      <c r="J226" s="6" t="n">
        <v>7760</v>
      </c>
      <c r="K226" s="6" t="n">
        <v>89</v>
      </c>
      <c r="L226" s="6" t="n">
        <v>1883</v>
      </c>
    </row>
    <row r="227" customFormat="false" ht="15" hidden="false" customHeight="true" outlineLevel="0" collapsed="false">
      <c r="A227" s="3" t="n">
        <v>2024</v>
      </c>
      <c r="B227" s="4" t="s">
        <v>54</v>
      </c>
      <c r="C227" s="4" t="s">
        <v>55</v>
      </c>
      <c r="D227" s="5" t="n">
        <f aca="false">I227/H227</f>
        <v>0.0787975704938235</v>
      </c>
      <c r="E227" s="5" t="n">
        <f aca="false">J227/H227</f>
        <v>0.0829641149027317</v>
      </c>
      <c r="F227" s="5" t="n">
        <f aca="false">IF(K227="","",K227/H227)</f>
        <v>0.00233267803174789</v>
      </c>
      <c r="G227" s="5" t="n">
        <f aca="false">L227/H227</f>
        <v>0.0232534256623925</v>
      </c>
      <c r="H227" s="6" t="n">
        <v>68162</v>
      </c>
      <c r="I227" s="6" t="n">
        <v>5371</v>
      </c>
      <c r="J227" s="6" t="n">
        <v>5655</v>
      </c>
      <c r="K227" s="6" t="n">
        <v>159</v>
      </c>
      <c r="L227" s="6" t="n">
        <v>1585</v>
      </c>
    </row>
    <row r="228" customFormat="false" ht="15" hidden="false" customHeight="true" outlineLevel="0" collapsed="false">
      <c r="A228" s="3" t="n">
        <v>2024</v>
      </c>
      <c r="B228" s="4" t="s">
        <v>56</v>
      </c>
      <c r="C228" s="4" t="s">
        <v>57</v>
      </c>
      <c r="D228" s="5" t="n">
        <f aca="false">I228/H228</f>
        <v>0.0793705028741408</v>
      </c>
      <c r="E228" s="5" t="n">
        <f aca="false">J228/H228</f>
        <v>0.105539253125377</v>
      </c>
      <c r="F228" s="5" t="n">
        <f aca="false">IF(K228="","",K228/H228)</f>
        <v>0.0018088997869518</v>
      </c>
      <c r="G228" s="5" t="n">
        <f aca="false">L228/H228</f>
        <v>0.0172649435221289</v>
      </c>
      <c r="H228" s="6" t="n">
        <v>99508</v>
      </c>
      <c r="I228" s="6" t="n">
        <v>7898</v>
      </c>
      <c r="J228" s="6" t="n">
        <v>10502</v>
      </c>
      <c r="K228" s="6" t="n">
        <v>180</v>
      </c>
      <c r="L228" s="6" t="n">
        <v>1718</v>
      </c>
    </row>
    <row r="229" customFormat="false" ht="15" hidden="false" customHeight="true" outlineLevel="0" collapsed="false">
      <c r="A229" s="3" t="n">
        <v>2024</v>
      </c>
      <c r="B229" s="4" t="s">
        <v>58</v>
      </c>
      <c r="C229" s="4" t="s">
        <v>59</v>
      </c>
      <c r="D229" s="5" t="n">
        <f aca="false">I229/H229</f>
        <v>0.098391278442487</v>
      </c>
      <c r="E229" s="5" t="n">
        <f aca="false">J229/H229</f>
        <v>0.129551200502424</v>
      </c>
      <c r="F229" s="5" t="n">
        <f aca="false">IF(K229="","",K229/H229)</f>
        <v>0.00103061240921754</v>
      </c>
      <c r="G229" s="5" t="n">
        <f aca="false">L229/H229</f>
        <v>0.0227217829594679</v>
      </c>
      <c r="H229" s="6" t="n">
        <v>62099</v>
      </c>
      <c r="I229" s="6" t="n">
        <v>6110</v>
      </c>
      <c r="J229" s="6" t="n">
        <v>8045</v>
      </c>
      <c r="K229" s="6" t="n">
        <v>64</v>
      </c>
      <c r="L229" s="6" t="n">
        <v>1411</v>
      </c>
    </row>
    <row r="230" customFormat="false" ht="15" hidden="false" customHeight="true" outlineLevel="0" collapsed="false">
      <c r="A230" s="3" t="n">
        <v>2024</v>
      </c>
      <c r="B230" s="4" t="s">
        <v>60</v>
      </c>
      <c r="C230" s="4" t="s">
        <v>61</v>
      </c>
      <c r="D230" s="5" t="n">
        <f aca="false">I230/H230</f>
        <v>0.0565868531970227</v>
      </c>
      <c r="E230" s="5" t="n">
        <f aca="false">J230/H230</f>
        <v>0.110632828146952</v>
      </c>
      <c r="F230" s="5" t="n">
        <f aca="false">IF(K230="","",K230/H230)</f>
        <v>0.00236152213553344</v>
      </c>
      <c r="G230" s="5" t="n">
        <f aca="false">L230/H230</f>
        <v>0.0117179326218874</v>
      </c>
      <c r="H230" s="6" t="n">
        <v>33453</v>
      </c>
      <c r="I230" s="6" t="n">
        <v>1893</v>
      </c>
      <c r="J230" s="6" t="n">
        <v>3701</v>
      </c>
      <c r="K230" s="6" t="n">
        <v>79</v>
      </c>
      <c r="L230" s="6" t="n">
        <v>392</v>
      </c>
    </row>
    <row r="231" customFormat="false" ht="15" hidden="false" customHeight="true" outlineLevel="0" collapsed="false">
      <c r="A231" s="3" t="n">
        <v>2024</v>
      </c>
      <c r="B231" s="4" t="s">
        <v>62</v>
      </c>
      <c r="C231" s="4" t="s">
        <v>63</v>
      </c>
      <c r="D231" s="5" t="n">
        <f aca="false">I231/H231</f>
        <v>0.0864569848181711</v>
      </c>
      <c r="E231" s="5" t="n">
        <f aca="false">J231/H231</f>
        <v>0.119380369542191</v>
      </c>
      <c r="F231" s="5" t="n">
        <f aca="false">IF(K231="","",K231/H231)</f>
        <v>0.0102094857008356</v>
      </c>
      <c r="G231" s="5" t="n">
        <f aca="false">L231/H231</f>
        <v>0.0154613392962222</v>
      </c>
      <c r="H231" s="6" t="n">
        <v>67976</v>
      </c>
      <c r="I231" s="6" t="n">
        <v>5877</v>
      </c>
      <c r="J231" s="6" t="n">
        <v>8115</v>
      </c>
      <c r="K231" s="6" t="n">
        <v>694</v>
      </c>
      <c r="L231" s="6" t="n">
        <v>1051</v>
      </c>
    </row>
    <row r="232" customFormat="false" ht="15" hidden="false" customHeight="true" outlineLevel="0" collapsed="false">
      <c r="A232" s="3" t="n">
        <v>2024</v>
      </c>
      <c r="B232" s="4" t="s">
        <v>64</v>
      </c>
      <c r="C232" s="4" t="s">
        <v>65</v>
      </c>
      <c r="D232" s="5" t="n">
        <f aca="false">I232/H232</f>
        <v>0.0793917425514985</v>
      </c>
      <c r="E232" s="5" t="n">
        <f aca="false">J232/H232</f>
        <v>0.111926443285298</v>
      </c>
      <c r="F232" s="5" t="n">
        <f aca="false">IF(K232="","",K232/H232)</f>
        <v>0.00123773318009018</v>
      </c>
      <c r="G232" s="5" t="n">
        <f aca="false">L232/H232</f>
        <v>0.0190964547785342</v>
      </c>
      <c r="H232" s="6" t="n">
        <v>11311</v>
      </c>
      <c r="I232" s="6" t="n">
        <v>898</v>
      </c>
      <c r="J232" s="6" t="n">
        <v>1266</v>
      </c>
      <c r="K232" s="6" t="n">
        <v>14</v>
      </c>
      <c r="L232" s="6" t="n">
        <v>216</v>
      </c>
    </row>
    <row r="233" customFormat="false" ht="15" hidden="false" customHeight="true" outlineLevel="0" collapsed="false">
      <c r="A233" s="3" t="n">
        <v>2024</v>
      </c>
      <c r="B233" s="4" t="s">
        <v>66</v>
      </c>
      <c r="C233" s="4" t="s">
        <v>67</v>
      </c>
      <c r="D233" s="5" t="n">
        <f aca="false">I233/H233</f>
        <v>0.0960303678875742</v>
      </c>
      <c r="E233" s="5" t="n">
        <f aca="false">J233/H233</f>
        <v>0.106974114606469</v>
      </c>
      <c r="F233" s="5" t="n">
        <f aca="false">IF(K233="","",K233/H233)</f>
        <v>0.00298832936235513</v>
      </c>
      <c r="G233" s="5" t="n">
        <f aca="false">L233/H233</f>
        <v>0.0169607882728264</v>
      </c>
      <c r="H233" s="6" t="n">
        <v>24763</v>
      </c>
      <c r="I233" s="6" t="n">
        <v>2378</v>
      </c>
      <c r="J233" s="6" t="n">
        <v>2649</v>
      </c>
      <c r="K233" s="6" t="n">
        <v>74</v>
      </c>
      <c r="L233" s="6" t="n">
        <v>420</v>
      </c>
    </row>
    <row r="234" customFormat="false" ht="15" hidden="false" customHeight="true" outlineLevel="0" collapsed="false">
      <c r="A234" s="3" t="n">
        <v>2024</v>
      </c>
      <c r="B234" s="4" t="s">
        <v>68</v>
      </c>
      <c r="C234" s="4" t="s">
        <v>69</v>
      </c>
      <c r="D234" s="5" t="n">
        <f aca="false">I234/H234</f>
        <v>0.0919231244592757</v>
      </c>
      <c r="E234" s="5" t="n">
        <f aca="false">J234/H234</f>
        <v>0.0838586083302435</v>
      </c>
      <c r="F234" s="5" t="n">
        <f aca="false">IF(K234="","",K234/H234)</f>
        <v>0.00902237053516253</v>
      </c>
      <c r="G234" s="5" t="n">
        <f aca="false">L234/H234</f>
        <v>0.0112470646397231</v>
      </c>
      <c r="H234" s="6" t="n">
        <v>32364</v>
      </c>
      <c r="I234" s="6" t="n">
        <v>2975</v>
      </c>
      <c r="J234" s="6" t="n">
        <v>2714</v>
      </c>
      <c r="K234" s="6" t="n">
        <v>292</v>
      </c>
      <c r="L234" s="6" t="n">
        <v>364</v>
      </c>
    </row>
    <row r="235" customFormat="false" ht="15" hidden="false" customHeight="true" outlineLevel="0" collapsed="false">
      <c r="A235" s="3" t="n">
        <v>2024</v>
      </c>
      <c r="B235" s="4" t="s">
        <v>70</v>
      </c>
      <c r="C235" s="4" t="s">
        <v>71</v>
      </c>
      <c r="D235" s="5" t="n">
        <f aca="false">I235/H235</f>
        <v>0.0976087141519871</v>
      </c>
      <c r="E235" s="5" t="n">
        <f aca="false">J235/H235</f>
        <v>0.131903667772955</v>
      </c>
      <c r="F235" s="5" t="n">
        <f aca="false">IF(K235="","",K235/H235)</f>
        <v>0.00127648710748021</v>
      </c>
      <c r="G235" s="5" t="n">
        <f aca="false">L235/H235</f>
        <v>0.0278274189430687</v>
      </c>
      <c r="H235" s="6" t="n">
        <v>11751</v>
      </c>
      <c r="I235" s="6" t="n">
        <v>1147</v>
      </c>
      <c r="J235" s="6" t="n">
        <v>1550</v>
      </c>
      <c r="K235" s="6" t="n">
        <v>15</v>
      </c>
      <c r="L235" s="6" t="n">
        <v>327</v>
      </c>
    </row>
    <row r="236" customFormat="false" ht="15" hidden="false" customHeight="true" outlineLevel="0" collapsed="false">
      <c r="A236" s="3" t="n">
        <v>2024</v>
      </c>
      <c r="B236" s="4" t="s">
        <v>72</v>
      </c>
      <c r="C236" s="4" t="s">
        <v>73</v>
      </c>
      <c r="D236" s="5" t="n">
        <f aca="false">I236/H236</f>
        <v>0.0884279906855587</v>
      </c>
      <c r="E236" s="5" t="n">
        <f aca="false">J236/H236</f>
        <v>0.0693156253700122</v>
      </c>
      <c r="F236" s="5" t="n">
        <f aca="false">IF(K236="","",K236/H236)</f>
        <v>0.00126297509570983</v>
      </c>
      <c r="G236" s="5" t="n">
        <f aca="false">L236/H236</f>
        <v>0.0161029324703004</v>
      </c>
      <c r="H236" s="6" t="n">
        <v>101348</v>
      </c>
      <c r="I236" s="6" t="n">
        <v>8962</v>
      </c>
      <c r="J236" s="6" t="n">
        <v>7025</v>
      </c>
      <c r="K236" s="6" t="n">
        <v>128</v>
      </c>
      <c r="L236" s="6" t="n">
        <v>1632</v>
      </c>
    </row>
    <row r="237" customFormat="false" ht="15" hidden="false" customHeight="true" outlineLevel="0" collapsed="false">
      <c r="A237" s="3" t="n">
        <v>2024</v>
      </c>
      <c r="B237" s="4" t="s">
        <v>74</v>
      </c>
      <c r="C237" s="4" t="s">
        <v>75</v>
      </c>
      <c r="D237" s="5" t="n">
        <f aca="false">I237/H237</f>
        <v>0.081350044594658</v>
      </c>
      <c r="E237" s="5" t="n">
        <f aca="false">J237/H237</f>
        <v>0.0879688306811247</v>
      </c>
      <c r="F237" s="5" t="n">
        <f aca="false">IF(K237="","",K237/H237)</f>
        <v>0.00347368915176266</v>
      </c>
      <c r="G237" s="5" t="n">
        <f aca="false">L237/H237</f>
        <v>0.011970145049993</v>
      </c>
      <c r="H237" s="6" t="n">
        <v>21303</v>
      </c>
      <c r="I237" s="6" t="n">
        <v>1733</v>
      </c>
      <c r="J237" s="6" t="n">
        <v>1874</v>
      </c>
      <c r="K237" s="6" t="n">
        <v>74</v>
      </c>
      <c r="L237" s="6" t="n">
        <v>255</v>
      </c>
    </row>
    <row r="238" customFormat="false" ht="15" hidden="false" customHeight="true" outlineLevel="0" collapsed="false">
      <c r="A238" s="3" t="n">
        <v>2024</v>
      </c>
      <c r="B238" s="4" t="s">
        <v>76</v>
      </c>
      <c r="C238" s="4" t="s">
        <v>77</v>
      </c>
      <c r="D238" s="5" t="n">
        <f aca="false">I238/H238</f>
        <v>0.089756942754519</v>
      </c>
      <c r="E238" s="5" t="n">
        <f aca="false">J238/H238</f>
        <v>0.0842913182716362</v>
      </c>
      <c r="F238" s="5" t="n">
        <f aca="false">IF(K238="","",K238/H238)</f>
        <v>0.00407853367467124</v>
      </c>
      <c r="G238" s="5" t="n">
        <f aca="false">L238/H238</f>
        <v>0.0173897384482104</v>
      </c>
      <c r="H238" s="6" t="n">
        <v>205466</v>
      </c>
      <c r="I238" s="6" t="n">
        <v>18442</v>
      </c>
      <c r="J238" s="6" t="n">
        <v>17319</v>
      </c>
      <c r="K238" s="6" t="n">
        <v>838</v>
      </c>
      <c r="L238" s="6" t="n">
        <v>3573</v>
      </c>
    </row>
    <row r="239" customFormat="false" ht="15" hidden="false" customHeight="true" outlineLevel="0" collapsed="false">
      <c r="A239" s="3" t="n">
        <v>2024</v>
      </c>
      <c r="B239" s="4" t="s">
        <v>78</v>
      </c>
      <c r="C239" s="4" t="s">
        <v>79</v>
      </c>
      <c r="D239" s="5" t="n">
        <f aca="false">I239/H239</f>
        <v>0.0862843745420798</v>
      </c>
      <c r="E239" s="5" t="n">
        <f aca="false">J239/H239</f>
        <v>0.10644914440157</v>
      </c>
      <c r="F239" s="5" t="n">
        <f aca="false">IF(K239="","",K239/H239)</f>
        <v>0.00288184438040346</v>
      </c>
      <c r="G239" s="5" t="n">
        <f aca="false">L239/H239</f>
        <v>0.0145638971653723</v>
      </c>
      <c r="H239" s="6" t="n">
        <v>122838</v>
      </c>
      <c r="I239" s="6" t="n">
        <v>10599</v>
      </c>
      <c r="J239" s="6" t="n">
        <v>13076</v>
      </c>
      <c r="K239" s="6" t="n">
        <v>354</v>
      </c>
      <c r="L239" s="6" t="n">
        <v>1789</v>
      </c>
    </row>
    <row r="240" customFormat="false" ht="15" hidden="false" customHeight="true" outlineLevel="0" collapsed="false">
      <c r="A240" s="3" t="n">
        <v>2024</v>
      </c>
      <c r="B240" s="4" t="s">
        <v>80</v>
      </c>
      <c r="C240" s="4" t="s">
        <v>81</v>
      </c>
      <c r="D240" s="5" t="n">
        <f aca="false">I240/H240</f>
        <v>0.0817832276836745</v>
      </c>
      <c r="E240" s="5" t="n">
        <f aca="false">J240/H240</f>
        <v>0.11285461914164</v>
      </c>
      <c r="F240" s="5" t="n">
        <f aca="false">IF(K240="","",K240/H240)</f>
        <v>0.00353320170425023</v>
      </c>
      <c r="G240" s="5" t="n">
        <f aca="false">L240/H240</f>
        <v>0.0210952925283176</v>
      </c>
      <c r="H240" s="6" t="n">
        <v>9623</v>
      </c>
      <c r="I240" s="6" t="n">
        <v>787</v>
      </c>
      <c r="J240" s="6" t="n">
        <v>1086</v>
      </c>
      <c r="K240" s="6" t="n">
        <v>34</v>
      </c>
      <c r="L240" s="6" t="n">
        <v>203</v>
      </c>
    </row>
    <row r="241" customFormat="false" ht="15" hidden="false" customHeight="true" outlineLevel="0" collapsed="false">
      <c r="A241" s="3" t="n">
        <v>2024</v>
      </c>
      <c r="B241" s="4" t="s">
        <v>82</v>
      </c>
      <c r="C241" s="4" t="s">
        <v>83</v>
      </c>
      <c r="D241" s="5" t="n">
        <f aca="false">I241/H241</f>
        <v>0.0907054341224078</v>
      </c>
      <c r="E241" s="5" t="n">
        <f aca="false">J241/H241</f>
        <v>0.135667689492242</v>
      </c>
      <c r="F241" s="5" t="n">
        <f aca="false">IF(K241="","",K241/H241)</f>
        <v>0.00235854637817201</v>
      </c>
      <c r="G241" s="5" t="n">
        <f aca="false">L241/H241</f>
        <v>0.0206668612401694</v>
      </c>
      <c r="H241" s="6" t="n">
        <v>126773</v>
      </c>
      <c r="I241" s="6" t="n">
        <v>11499</v>
      </c>
      <c r="J241" s="6" t="n">
        <v>17199</v>
      </c>
      <c r="K241" s="6" t="n">
        <v>299</v>
      </c>
      <c r="L241" s="6" t="n">
        <v>2620</v>
      </c>
    </row>
    <row r="242" customFormat="false" ht="15" hidden="false" customHeight="true" outlineLevel="0" collapsed="false">
      <c r="A242" s="3" t="n">
        <v>2024</v>
      </c>
      <c r="B242" s="4" t="s">
        <v>84</v>
      </c>
      <c r="C242" s="4" t="s">
        <v>85</v>
      </c>
      <c r="D242" s="5" t="n">
        <f aca="false">I242/H242</f>
        <v>0.0695942422029832</v>
      </c>
      <c r="E242" s="5" t="n">
        <f aca="false">J242/H242</f>
        <v>0.0937519557734432</v>
      </c>
      <c r="F242" s="5" t="n">
        <f aca="false">IF(K242="","",K242/H242)</f>
        <v>0.00465213309690206</v>
      </c>
      <c r="G242" s="5" t="n">
        <f aca="false">L242/H242</f>
        <v>0.016146865547095</v>
      </c>
      <c r="H242" s="6" t="n">
        <v>47935</v>
      </c>
      <c r="I242" s="6" t="n">
        <v>3336</v>
      </c>
      <c r="J242" s="6" t="n">
        <v>4494</v>
      </c>
      <c r="K242" s="6" t="n">
        <v>223</v>
      </c>
      <c r="L242" s="6" t="n">
        <v>774</v>
      </c>
    </row>
    <row r="243" customFormat="false" ht="15" hidden="false" customHeight="true" outlineLevel="0" collapsed="false">
      <c r="A243" s="3" t="n">
        <v>2024</v>
      </c>
      <c r="B243" s="4" t="s">
        <v>86</v>
      </c>
      <c r="C243" s="4" t="s">
        <v>87</v>
      </c>
      <c r="D243" s="5" t="n">
        <f aca="false">I243/H243</f>
        <v>0.110728776128602</v>
      </c>
      <c r="E243" s="5" t="n">
        <f aca="false">J243/H243</f>
        <v>0.130989676955472</v>
      </c>
      <c r="F243" s="5" t="n">
        <f aca="false">IF(K243="","",K243/H243)</f>
        <v>0.00141235683837502</v>
      </c>
      <c r="G243" s="5" t="n">
        <f aca="false">L243/H243</f>
        <v>0.0210826357146526</v>
      </c>
      <c r="H243" s="6" t="n">
        <v>38942</v>
      </c>
      <c r="I243" s="6" t="n">
        <v>4312</v>
      </c>
      <c r="J243" s="6" t="n">
        <v>5101</v>
      </c>
      <c r="K243" s="6" t="n">
        <v>55</v>
      </c>
      <c r="L243" s="6" t="n">
        <v>821</v>
      </c>
    </row>
    <row r="244" customFormat="false" ht="15" hidden="false" customHeight="true" outlineLevel="0" collapsed="false">
      <c r="A244" s="3" t="n">
        <v>2024</v>
      </c>
      <c r="B244" s="4" t="s">
        <v>88</v>
      </c>
      <c r="C244" s="4" t="s">
        <v>89</v>
      </c>
      <c r="D244" s="5" t="n">
        <f aca="false">I244/H244</f>
        <v>0.0986549551389827</v>
      </c>
      <c r="E244" s="5" t="n">
        <f aca="false">J244/H244</f>
        <v>0.128352791439481</v>
      </c>
      <c r="F244" s="5" t="n">
        <f aca="false">IF(K244="","",K244/H244)</f>
        <v>0.00286764821420154</v>
      </c>
      <c r="G244" s="5" t="n">
        <f aca="false">L244/H244</f>
        <v>0.013906129696265</v>
      </c>
      <c r="H244" s="6" t="n">
        <v>127282</v>
      </c>
      <c r="I244" s="6" t="n">
        <v>12557</v>
      </c>
      <c r="J244" s="6" t="n">
        <v>16337</v>
      </c>
      <c r="K244" s="6" t="n">
        <v>365</v>
      </c>
      <c r="L244" s="6" t="n">
        <v>1770</v>
      </c>
    </row>
    <row r="245" customFormat="false" ht="15" hidden="false" customHeight="true" outlineLevel="0" collapsed="false">
      <c r="A245" s="3" t="n">
        <v>2024</v>
      </c>
      <c r="B245" s="4" t="s">
        <v>90</v>
      </c>
      <c r="C245" s="4" t="s">
        <v>91</v>
      </c>
      <c r="D245" s="5" t="n">
        <f aca="false">I245/H245</f>
        <v>0.0915640948664065</v>
      </c>
      <c r="E245" s="5" t="n">
        <f aca="false">J245/H245</f>
        <v>0.120084058841189</v>
      </c>
      <c r="F245" s="5" t="n">
        <f aca="false">IF(K245="","",K245/H245)</f>
        <v>0</v>
      </c>
      <c r="G245" s="5" t="n">
        <f aca="false">L245/H245</f>
        <v>0.0230161112778945</v>
      </c>
      <c r="H245" s="6" t="n">
        <v>9993</v>
      </c>
      <c r="I245" s="6" t="n">
        <v>915</v>
      </c>
      <c r="J245" s="6" t="n">
        <v>1200</v>
      </c>
      <c r="K245" s="6" t="n">
        <v>0</v>
      </c>
      <c r="L245" s="6" t="n">
        <v>230</v>
      </c>
    </row>
    <row r="246" customFormat="false" ht="15" hidden="false" customHeight="true" outlineLevel="0" collapsed="false">
      <c r="A246" s="3" t="n">
        <v>2024</v>
      </c>
      <c r="B246" s="4" t="s">
        <v>92</v>
      </c>
      <c r="C246" s="4" t="s">
        <v>93</v>
      </c>
      <c r="D246" s="5" t="n">
        <f aca="false">I246/H246</f>
        <v>0.0853519448463699</v>
      </c>
      <c r="E246" s="5" t="n">
        <f aca="false">J246/H246</f>
        <v>0.127636394586773</v>
      </c>
      <c r="F246" s="5" t="n">
        <f aca="false">IF(K246="","",K246/H246)</f>
        <v>0.00108945442165291</v>
      </c>
      <c r="G246" s="5" t="n">
        <f aca="false">L246/H246</f>
        <v>0.0147416801429909</v>
      </c>
      <c r="H246" s="6" t="n">
        <v>58745</v>
      </c>
      <c r="I246" s="6" t="n">
        <v>5014</v>
      </c>
      <c r="J246" s="6" t="n">
        <v>7498</v>
      </c>
      <c r="K246" s="6" t="n">
        <v>64</v>
      </c>
      <c r="L246" s="6" t="n">
        <v>866</v>
      </c>
    </row>
    <row r="247" customFormat="false" ht="15" hidden="false" customHeight="true" outlineLevel="0" collapsed="false">
      <c r="A247" s="3" t="n">
        <v>2024</v>
      </c>
      <c r="B247" s="4" t="s">
        <v>94</v>
      </c>
      <c r="C247" s="4" t="s">
        <v>95</v>
      </c>
      <c r="D247" s="5" t="n">
        <f aca="false">I247/H247</f>
        <v>0.102494529540481</v>
      </c>
      <c r="E247" s="5" t="n">
        <f aca="false">J247/H247</f>
        <v>0.0968052516411379</v>
      </c>
      <c r="F247" s="5" t="n">
        <f aca="false">IF(K247="","",K247/H247)</f>
        <v>0.0126039387308534</v>
      </c>
      <c r="G247" s="5" t="n">
        <f aca="false">L247/H247</f>
        <v>0.0119912472647702</v>
      </c>
      <c r="H247" s="6" t="n">
        <v>11425</v>
      </c>
      <c r="I247" s="6" t="n">
        <v>1171</v>
      </c>
      <c r="J247" s="6" t="n">
        <v>1106</v>
      </c>
      <c r="K247" s="6" t="n">
        <v>144</v>
      </c>
      <c r="L247" s="6" t="n">
        <v>137</v>
      </c>
    </row>
    <row r="248" customFormat="false" ht="15" hidden="false" customHeight="true" outlineLevel="0" collapsed="false">
      <c r="A248" s="3" t="n">
        <v>2024</v>
      </c>
      <c r="B248" s="4" t="s">
        <v>96</v>
      </c>
      <c r="C248" s="4" t="s">
        <v>97</v>
      </c>
      <c r="D248" s="5" t="n">
        <f aca="false">I248/H248</f>
        <v>0.0768101936361359</v>
      </c>
      <c r="E248" s="5" t="n">
        <f aca="false">J248/H248</f>
        <v>0.0875001491344238</v>
      </c>
      <c r="F248" s="5" t="n">
        <f aca="false">IF(K248="","",K248/H248)</f>
        <v>0.00474844005392701</v>
      </c>
      <c r="G248" s="5" t="n">
        <f aca="false">L248/H248</f>
        <v>0.0133027906033382</v>
      </c>
      <c r="H248" s="6" t="n">
        <v>83817</v>
      </c>
      <c r="I248" s="6" t="n">
        <v>6438</v>
      </c>
      <c r="J248" s="6" t="n">
        <v>7334</v>
      </c>
      <c r="K248" s="6" t="n">
        <v>398</v>
      </c>
      <c r="L248" s="6" t="n">
        <v>1115</v>
      </c>
    </row>
    <row r="249" customFormat="false" ht="15" hidden="false" customHeight="true" outlineLevel="0" collapsed="false">
      <c r="A249" s="3" t="n">
        <v>2024</v>
      </c>
      <c r="B249" s="4" t="s">
        <v>98</v>
      </c>
      <c r="C249" s="4" t="s">
        <v>99</v>
      </c>
      <c r="D249" s="5" t="n">
        <f aca="false">I249/H249</f>
        <v>0.0730365540993506</v>
      </c>
      <c r="E249" s="5" t="n">
        <f aca="false">J249/H249</f>
        <v>0.0917383539140981</v>
      </c>
      <c r="F249" s="5" t="n">
        <f aca="false">IF(K249="","",K249/H249)</f>
        <v>0.00104140546238914</v>
      </c>
      <c r="G249" s="5" t="n">
        <f aca="false">L249/H249</f>
        <v>0.00774017573397336</v>
      </c>
      <c r="H249" s="6" t="n">
        <v>390818</v>
      </c>
      <c r="I249" s="6" t="n">
        <v>28544</v>
      </c>
      <c r="J249" s="6" t="n">
        <v>35853</v>
      </c>
      <c r="K249" s="6" t="n">
        <v>407</v>
      </c>
      <c r="L249" s="6" t="n">
        <v>3025</v>
      </c>
    </row>
    <row r="250" customFormat="false" ht="15" hidden="false" customHeight="true" outlineLevel="0" collapsed="false">
      <c r="A250" s="3" t="n">
        <v>2024</v>
      </c>
      <c r="B250" s="4" t="s">
        <v>100</v>
      </c>
      <c r="C250" s="4" t="s">
        <v>101</v>
      </c>
      <c r="D250" s="5" t="n">
        <f aca="false">I250/H250</f>
        <v>0.065410746051137</v>
      </c>
      <c r="E250" s="5" t="n">
        <f aca="false">J250/H250</f>
        <v>0.0826850125377741</v>
      </c>
      <c r="F250" s="5" t="n">
        <f aca="false">IF(K250="","",K250/H250)</f>
        <v>0.00060009858762511</v>
      </c>
      <c r="G250" s="5" t="n">
        <f aca="false">L250/H250</f>
        <v>0.023018067253906</v>
      </c>
      <c r="H250" s="6" t="n">
        <v>46659</v>
      </c>
      <c r="I250" s="6" t="n">
        <v>3052</v>
      </c>
      <c r="J250" s="6" t="n">
        <v>3858</v>
      </c>
      <c r="K250" s="6" t="n">
        <v>28</v>
      </c>
      <c r="L250" s="6" t="n">
        <v>1074</v>
      </c>
    </row>
    <row r="251" customFormat="false" ht="15" hidden="false" customHeight="true" outlineLevel="0" collapsed="false">
      <c r="A251" s="3" t="n">
        <v>2024</v>
      </c>
      <c r="B251" s="4" t="s">
        <v>102</v>
      </c>
      <c r="C251" s="4" t="s">
        <v>103</v>
      </c>
      <c r="D251" s="5" t="n">
        <f aca="false">I251/H251</f>
        <v>0.0847457627118644</v>
      </c>
      <c r="E251" s="5" t="n">
        <f aca="false">J251/H251</f>
        <v>0.120039880358923</v>
      </c>
      <c r="F251" s="5" t="n">
        <f aca="false">IF(K251="","",K251/H251)</f>
        <v>0.00219341974077767</v>
      </c>
      <c r="G251" s="5" t="n">
        <f aca="false">L251/H251</f>
        <v>0.0249252243270189</v>
      </c>
      <c r="H251" s="6" t="n">
        <v>5015</v>
      </c>
      <c r="I251" s="6" t="n">
        <v>425</v>
      </c>
      <c r="J251" s="6" t="n">
        <v>602</v>
      </c>
      <c r="K251" s="6" t="n">
        <v>11</v>
      </c>
      <c r="L251" s="6" t="n">
        <v>125</v>
      </c>
    </row>
    <row r="252" customFormat="false" ht="15" hidden="false" customHeight="true" outlineLevel="0" collapsed="false">
      <c r="A252" s="3" t="n">
        <v>2024</v>
      </c>
      <c r="B252" s="4" t="s">
        <v>104</v>
      </c>
      <c r="C252" s="4" t="s">
        <v>105</v>
      </c>
      <c r="D252" s="5" t="n">
        <f aca="false">I252/H252</f>
        <v>0.0767414654897373</v>
      </c>
      <c r="E252" s="5" t="n">
        <f aca="false">J252/H252</f>
        <v>0.0996596830798681</v>
      </c>
      <c r="F252" s="5" t="n">
        <f aca="false">IF(K252="","",K252/H252)</f>
        <v>0.0026799957460385</v>
      </c>
      <c r="G252" s="5" t="n">
        <f aca="false">L252/H252</f>
        <v>0.00894395405721578</v>
      </c>
      <c r="H252" s="6" t="n">
        <v>94030</v>
      </c>
      <c r="I252" s="6" t="n">
        <v>7216</v>
      </c>
      <c r="J252" s="6" t="n">
        <v>9371</v>
      </c>
      <c r="K252" s="6" t="n">
        <v>252</v>
      </c>
      <c r="L252" s="6" t="n">
        <v>841</v>
      </c>
    </row>
    <row r="253" customFormat="false" ht="15" hidden="false" customHeight="true" outlineLevel="0" collapsed="false">
      <c r="A253" s="3" t="n">
        <v>2024</v>
      </c>
      <c r="B253" s="4" t="s">
        <v>106</v>
      </c>
      <c r="C253" s="4" t="s">
        <v>107</v>
      </c>
      <c r="D253" s="5" t="n">
        <f aca="false">I253/H253</f>
        <v>0.120640689306602</v>
      </c>
      <c r="E253" s="5" t="n">
        <f aca="false">J253/H253</f>
        <v>0.117114732003177</v>
      </c>
      <c r="F253" s="5" t="n">
        <f aca="false">IF(K253="","",K253/H253)</f>
        <v>0.00123950034898554</v>
      </c>
      <c r="G253" s="5" t="n">
        <f aca="false">L253/H253</f>
        <v>0.020217093070832</v>
      </c>
      <c r="H253" s="6" t="n">
        <v>83098</v>
      </c>
      <c r="I253" s="6" t="n">
        <v>10025</v>
      </c>
      <c r="J253" s="6" t="n">
        <v>9732</v>
      </c>
      <c r="K253" s="6" t="n">
        <v>103</v>
      </c>
      <c r="L253" s="6" t="n">
        <v>1680</v>
      </c>
    </row>
    <row r="254" customFormat="false" ht="15" hidden="false" customHeight="true" outlineLevel="0" collapsed="false">
      <c r="A254" s="3" t="n">
        <v>2024</v>
      </c>
      <c r="B254" s="4" t="s">
        <v>108</v>
      </c>
      <c r="C254" s="4" t="s">
        <v>109</v>
      </c>
      <c r="D254" s="5" t="n">
        <f aca="false">I254/H254</f>
        <v>0.0812845547582637</v>
      </c>
      <c r="E254" s="5" t="n">
        <f aca="false">J254/H254</f>
        <v>0.120985766380426</v>
      </c>
      <c r="F254" s="5" t="n">
        <f aca="false">IF(K254="","",K254/H254)</f>
        <v>0.00176449829431832</v>
      </c>
      <c r="G254" s="5" t="n">
        <f aca="false">L254/H254</f>
        <v>0.0132337372073874</v>
      </c>
      <c r="H254" s="6" t="n">
        <v>17002</v>
      </c>
      <c r="I254" s="6" t="n">
        <v>1382</v>
      </c>
      <c r="J254" s="6" t="n">
        <v>2057</v>
      </c>
      <c r="K254" s="6" t="n">
        <v>30</v>
      </c>
      <c r="L254" s="6" t="n">
        <v>225</v>
      </c>
    </row>
    <row r="255" customFormat="false" ht="15" hidden="false" customHeight="true" outlineLevel="0" collapsed="false">
      <c r="A255" s="3" t="n">
        <v>2024</v>
      </c>
      <c r="B255" s="4" t="s">
        <v>110</v>
      </c>
      <c r="C255" s="4" t="s">
        <v>111</v>
      </c>
      <c r="D255" s="5" t="n">
        <f aca="false">I255/H255</f>
        <v>0.0876640244004625</v>
      </c>
      <c r="E255" s="5" t="n">
        <f aca="false">J255/H255</f>
        <v>0.112785104992375</v>
      </c>
      <c r="F255" s="5" t="n">
        <f aca="false">IF(K255="","",K255/H255)</f>
        <v>0.00382095155100468</v>
      </c>
      <c r="G255" s="5" t="n">
        <f aca="false">L255/H255</f>
        <v>0.0249199778787016</v>
      </c>
      <c r="H255" s="6" t="n">
        <v>59671</v>
      </c>
      <c r="I255" s="6" t="n">
        <v>5231</v>
      </c>
      <c r="J255" s="6" t="n">
        <v>6730</v>
      </c>
      <c r="K255" s="6" t="n">
        <v>228</v>
      </c>
      <c r="L255" s="6" t="n">
        <v>1487</v>
      </c>
    </row>
    <row r="256" customFormat="false" ht="15" hidden="false" customHeight="true" outlineLevel="0" collapsed="false">
      <c r="A256" s="3" t="n">
        <v>2024</v>
      </c>
      <c r="B256" s="4" t="s">
        <v>112</v>
      </c>
      <c r="C256" s="4" t="s">
        <v>113</v>
      </c>
      <c r="D256" s="5" t="n">
        <f aca="false">I256/H256</f>
        <v>0.0747694334650856</v>
      </c>
      <c r="E256" s="5" t="n">
        <f aca="false">J256/H256</f>
        <v>0.130928853754941</v>
      </c>
      <c r="F256" s="5" t="n">
        <f aca="false">IF(K256="","",K256/H256)</f>
        <v>0</v>
      </c>
      <c r="G256" s="5" t="n">
        <f aca="false">L256/H256</f>
        <v>0.0192687747035573</v>
      </c>
      <c r="H256" s="6" t="n">
        <v>6072</v>
      </c>
      <c r="I256" s="6" t="n">
        <v>454</v>
      </c>
      <c r="J256" s="6" t="n">
        <v>795</v>
      </c>
      <c r="K256" s="6" t="n">
        <v>0</v>
      </c>
      <c r="L256" s="6" t="n">
        <v>117</v>
      </c>
    </row>
  </sheetData>
  <autoFilter ref="A1:L25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15" hidden="false" customHeight="true" outlineLevel="0" collapsed="false">
      <c r="A1" s="7" t="s">
        <v>114</v>
      </c>
    </row>
    <row r="2" customFormat="false" ht="26.25" hidden="false" customHeight="true" outlineLevel="0" collapsed="false">
      <c r="A2" s="8" t="s">
        <v>115</v>
      </c>
    </row>
    <row r="3" customFormat="false" ht="15" hidden="false" customHeight="true" outlineLevel="0" collapsed="false">
      <c r="A3" s="8" t="s">
        <v>116</v>
      </c>
    </row>
    <row r="4" customFormat="false" ht="26.25" hidden="false" customHeight="true" outlineLevel="0" collapsed="false">
      <c r="A4" s="8" t="s">
        <v>117</v>
      </c>
    </row>
    <row r="5" customFormat="false" ht="26.25" hidden="false" customHeight="true" outlineLevel="0" collapsed="false">
      <c r="A5" s="8" t="s">
        <v>118</v>
      </c>
    </row>
    <row r="6" customFormat="false" ht="15" hidden="false" customHeight="true" outlineLevel="0" collapsed="false">
      <c r="A6" s="8" t="s">
        <v>119</v>
      </c>
    </row>
    <row r="7" customFormat="false" ht="26.25" hidden="false" customHeight="true" outlineLevel="0" collapsed="false">
      <c r="A7" s="8" t="s">
        <v>120</v>
      </c>
    </row>
    <row r="8" customFormat="false" ht="26.25" hidden="false" customHeight="true" outlineLevel="0" collapsed="false">
      <c r="A8" s="8" t="s">
        <v>121</v>
      </c>
    </row>
    <row r="9" customFormat="false" ht="39" hidden="false" customHeight="true" outlineLevel="0" collapsed="false">
      <c r="A9" s="8" t="s">
        <v>122</v>
      </c>
    </row>
    <row r="10" customFormat="false" ht="15" hidden="false" customHeight="true" outlineLevel="0" collapsed="false">
      <c r="A10" s="8" t="s">
        <v>123</v>
      </c>
    </row>
    <row r="11" customFormat="false" ht="15" hidden="false" customHeight="true" outlineLevel="0" collapsed="false">
      <c r="A11" s="8" t="s">
        <v>124</v>
      </c>
    </row>
    <row r="12" customFormat="false" ht="39.55" hidden="false" customHeight="false" outlineLevel="0" collapsed="false">
      <c r="A12" s="9" t="s">
        <v>125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2026-10-14T01:17:39Z</dcterms:created>
  <dc:creator>openpyxl</dc:creator>
  <dc:description/>
  <dc:language>en-US</dc:language>
  <cp:lastModifiedBy/>
  <dcterms:modified xsi:type="dcterms:W3CDTF">2026-10-14T01:17:46Z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